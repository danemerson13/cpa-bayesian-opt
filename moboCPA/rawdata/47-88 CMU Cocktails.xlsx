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ds16/Library/CloudStorage/Dropbox/2. Personal/Faculty/collaborations/CMU Kara/to send to CMU/"/>
    </mc:Choice>
  </mc:AlternateContent>
  <xr:revisionPtr revIDLastSave="0" documentId="8_{814432A1-41BA-7A45-BF4A-2D53D7E55DE8}" xr6:coauthVersionLast="47" xr6:coauthVersionMax="47" xr10:uidLastSave="{00000000-0000-0000-0000-000000000000}"/>
  <bookViews>
    <workbookView xWindow="-620" yWindow="1060" windowWidth="28800" windowHeight="20120" activeTab="3" xr2:uid="{5F40E3D6-DB9B-F847-821F-08A31B24BD2D}"/>
  </bookViews>
  <sheets>
    <sheet name="Raw Data" sheetId="2" r:id="rId1"/>
    <sheet name="Plate Layout" sheetId="1" r:id="rId2"/>
    <sheet name="Math" sheetId="3" r:id="rId3"/>
    <sheet name="47-88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5" i="5" l="1"/>
  <c r="Y36" i="5"/>
  <c r="Y37" i="5"/>
  <c r="Y38" i="5"/>
  <c r="Y39" i="5"/>
  <c r="Y40" i="5"/>
  <c r="Y41" i="5"/>
  <c r="Y42" i="5"/>
  <c r="Y43" i="5"/>
  <c r="Y44" i="5"/>
  <c r="Y45" i="5"/>
  <c r="Y46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8" i="5"/>
  <c r="Y9" i="5"/>
  <c r="Y10" i="5"/>
  <c r="Y11" i="5"/>
  <c r="Y12" i="5"/>
  <c r="Y13" i="5"/>
  <c r="Y14" i="5"/>
  <c r="Y15" i="5"/>
  <c r="Y16" i="5"/>
  <c r="Y17" i="5"/>
  <c r="Y18" i="5"/>
  <c r="Y19" i="5"/>
  <c r="Y6" i="5"/>
  <c r="Y7" i="5"/>
  <c r="Y5" i="5"/>
  <c r="D60" i="3" l="1"/>
  <c r="C60" i="3"/>
  <c r="AA60" i="3" s="1"/>
  <c r="D59" i="3"/>
  <c r="C59" i="3"/>
  <c r="Q59" i="3" s="1"/>
  <c r="D58" i="3"/>
  <c r="C58" i="3"/>
  <c r="AA58" i="3" s="1"/>
  <c r="D57" i="3"/>
  <c r="C57" i="3"/>
  <c r="AA57" i="3" s="1"/>
  <c r="D56" i="3"/>
  <c r="C56" i="3"/>
  <c r="AA56" i="3" s="1"/>
  <c r="D55" i="3"/>
  <c r="C55" i="3"/>
  <c r="AA55" i="3" s="1"/>
  <c r="D54" i="3"/>
  <c r="C54" i="3"/>
  <c r="AA54" i="3" s="1"/>
  <c r="D53" i="3"/>
  <c r="C53" i="3"/>
  <c r="AA53" i="3" s="1"/>
  <c r="D52" i="3"/>
  <c r="C52" i="3"/>
  <c r="AA52" i="3" s="1"/>
  <c r="D51" i="3"/>
  <c r="C51" i="3"/>
  <c r="Q51" i="3" s="1"/>
  <c r="D50" i="3"/>
  <c r="C50" i="3"/>
  <c r="AA50" i="3" s="1"/>
  <c r="D49" i="3"/>
  <c r="C49" i="3"/>
  <c r="Q49" i="3" s="1"/>
  <c r="D48" i="3"/>
  <c r="C48" i="3"/>
  <c r="AA48" i="3" s="1"/>
  <c r="D47" i="3"/>
  <c r="C47" i="3"/>
  <c r="AA47" i="3" s="1"/>
  <c r="D46" i="3"/>
  <c r="C46" i="3"/>
  <c r="AA46" i="3" s="1"/>
  <c r="D45" i="3"/>
  <c r="C45" i="3"/>
  <c r="Q45" i="3" s="1"/>
  <c r="D44" i="3"/>
  <c r="C44" i="3"/>
  <c r="AA44" i="3" s="1"/>
  <c r="D43" i="3"/>
  <c r="C43" i="3"/>
  <c r="Q43" i="3" s="1"/>
  <c r="D42" i="3"/>
  <c r="C42" i="3"/>
  <c r="AA42" i="3" s="1"/>
  <c r="D41" i="3"/>
  <c r="C41" i="3"/>
  <c r="AA41" i="3" s="1"/>
  <c r="D40" i="3"/>
  <c r="C40" i="3"/>
  <c r="AA40" i="3" s="1"/>
  <c r="D39" i="3"/>
  <c r="C39" i="3"/>
  <c r="Q39" i="3" s="1"/>
  <c r="D38" i="3"/>
  <c r="C38" i="3"/>
  <c r="AA38" i="3" s="1"/>
  <c r="D37" i="3"/>
  <c r="C37" i="3"/>
  <c r="Q37" i="3" s="1"/>
  <c r="D36" i="3"/>
  <c r="C36" i="3"/>
  <c r="AA36" i="3" s="1"/>
  <c r="D35" i="3"/>
  <c r="C35" i="3"/>
  <c r="Q35" i="3" s="1"/>
  <c r="D34" i="3"/>
  <c r="C34" i="3"/>
  <c r="AA34" i="3" s="1"/>
  <c r="D33" i="3"/>
  <c r="C33" i="3"/>
  <c r="AA33" i="3" s="1"/>
  <c r="D32" i="3"/>
  <c r="C32" i="3"/>
  <c r="AA32" i="3" s="1"/>
  <c r="D31" i="3"/>
  <c r="C31" i="3"/>
  <c r="AA31" i="3" s="1"/>
  <c r="D30" i="3"/>
  <c r="C30" i="3"/>
  <c r="AA30" i="3" s="1"/>
  <c r="D29" i="3"/>
  <c r="C29" i="3"/>
  <c r="Q29" i="3" s="1"/>
  <c r="D28" i="3"/>
  <c r="C28" i="3"/>
  <c r="AA28" i="3" s="1"/>
  <c r="D27" i="3"/>
  <c r="C27" i="3"/>
  <c r="AA27" i="3" s="1"/>
  <c r="D26" i="3"/>
  <c r="C26" i="3"/>
  <c r="AA26" i="3" s="1"/>
  <c r="D25" i="3"/>
  <c r="C25" i="3"/>
  <c r="AA25" i="3" s="1"/>
  <c r="D24" i="3"/>
  <c r="C24" i="3"/>
  <c r="AA24" i="3" s="1"/>
  <c r="D23" i="3"/>
  <c r="C23" i="3"/>
  <c r="Q23" i="3" s="1"/>
  <c r="D22" i="3"/>
  <c r="C22" i="3"/>
  <c r="AA22" i="3" s="1"/>
  <c r="D21" i="3"/>
  <c r="C21" i="3"/>
  <c r="Q21" i="3" s="1"/>
  <c r="D20" i="3"/>
  <c r="C20" i="3"/>
  <c r="AA20" i="3" s="1"/>
  <c r="D19" i="3"/>
  <c r="C19" i="3"/>
  <c r="Q19" i="3" s="1"/>
  <c r="L17" i="3"/>
  <c r="K17" i="3"/>
  <c r="J17" i="3"/>
  <c r="I17" i="3"/>
  <c r="H17" i="3"/>
  <c r="G17" i="3"/>
  <c r="F17" i="3"/>
  <c r="E17" i="3"/>
  <c r="D17" i="3"/>
  <c r="L15" i="3"/>
  <c r="K15" i="3"/>
  <c r="J15" i="3"/>
  <c r="I15" i="3"/>
  <c r="H15" i="3"/>
  <c r="G15" i="3"/>
  <c r="F15" i="3"/>
  <c r="E15" i="3"/>
  <c r="D15" i="3"/>
  <c r="D14" i="3"/>
  <c r="K75" i="5"/>
  <c r="K76" i="5" s="1"/>
  <c r="J75" i="5"/>
  <c r="N48" i="5" s="1"/>
  <c r="I75" i="5"/>
  <c r="I76" i="5" s="1"/>
  <c r="H75" i="5"/>
  <c r="M48" i="5" s="1"/>
  <c r="K74" i="5"/>
  <c r="K79" i="5" s="1"/>
  <c r="J74" i="5"/>
  <c r="U45" i="5" s="1"/>
  <c r="I74" i="5"/>
  <c r="I79" i="5" s="1"/>
  <c r="H74" i="5"/>
  <c r="H79" i="5" s="1"/>
  <c r="M51" i="5" s="1"/>
  <c r="D121" i="3"/>
  <c r="C121" i="3"/>
  <c r="AA121" i="3" s="1"/>
  <c r="D120" i="3"/>
  <c r="C120" i="3"/>
  <c r="Q120" i="3" s="1"/>
  <c r="D119" i="3"/>
  <c r="C119" i="3"/>
  <c r="AA119" i="3" s="1"/>
  <c r="D118" i="3"/>
  <c r="C118" i="3"/>
  <c r="Q118" i="3" s="1"/>
  <c r="D117" i="3"/>
  <c r="C117" i="3"/>
  <c r="AA117" i="3" s="1"/>
  <c r="D116" i="3"/>
  <c r="C116" i="3"/>
  <c r="Q116" i="3" s="1"/>
  <c r="D115" i="3"/>
  <c r="C115" i="3"/>
  <c r="AA115" i="3" s="1"/>
  <c r="D114" i="3"/>
  <c r="C114" i="3"/>
  <c r="Q114" i="3" s="1"/>
  <c r="D113" i="3"/>
  <c r="C113" i="3"/>
  <c r="AA113" i="3" s="1"/>
  <c r="D112" i="3"/>
  <c r="C112" i="3"/>
  <c r="Q112" i="3" s="1"/>
  <c r="D111" i="3"/>
  <c r="C111" i="3"/>
  <c r="AA111" i="3" s="1"/>
  <c r="D110" i="3"/>
  <c r="C110" i="3"/>
  <c r="Q110" i="3" s="1"/>
  <c r="D109" i="3"/>
  <c r="C109" i="3"/>
  <c r="AA109" i="3" s="1"/>
  <c r="D108" i="3"/>
  <c r="C108" i="3"/>
  <c r="Q108" i="3" s="1"/>
  <c r="D107" i="3"/>
  <c r="C107" i="3"/>
  <c r="AA107" i="3" s="1"/>
  <c r="D106" i="3"/>
  <c r="C106" i="3"/>
  <c r="Q106" i="3" s="1"/>
  <c r="D105" i="3"/>
  <c r="C105" i="3"/>
  <c r="AA105" i="3" s="1"/>
  <c r="D104" i="3"/>
  <c r="C104" i="3"/>
  <c r="Q104" i="3" s="1"/>
  <c r="D103" i="3"/>
  <c r="C103" i="3"/>
  <c r="AA103" i="3" s="1"/>
  <c r="D102" i="3"/>
  <c r="C102" i="3"/>
  <c r="Q102" i="3" s="1"/>
  <c r="D101" i="3"/>
  <c r="C101" i="3"/>
  <c r="AA101" i="3" s="1"/>
  <c r="D100" i="3"/>
  <c r="C100" i="3"/>
  <c r="Q100" i="3" s="1"/>
  <c r="D99" i="3"/>
  <c r="C99" i="3"/>
  <c r="AA99" i="3" s="1"/>
  <c r="D98" i="3"/>
  <c r="C98" i="3"/>
  <c r="Q98" i="3" s="1"/>
  <c r="D97" i="3"/>
  <c r="C97" i="3"/>
  <c r="AA97" i="3" s="1"/>
  <c r="D96" i="3"/>
  <c r="C96" i="3"/>
  <c r="Q96" i="3" s="1"/>
  <c r="D95" i="3"/>
  <c r="C95" i="3"/>
  <c r="AA95" i="3" s="1"/>
  <c r="D94" i="3"/>
  <c r="C94" i="3"/>
  <c r="Q94" i="3" s="1"/>
  <c r="D93" i="3"/>
  <c r="C93" i="3"/>
  <c r="AA93" i="3" s="1"/>
  <c r="D92" i="3"/>
  <c r="C92" i="3"/>
  <c r="Q92" i="3" s="1"/>
  <c r="D91" i="3"/>
  <c r="C91" i="3"/>
  <c r="AA91" i="3" s="1"/>
  <c r="D90" i="3"/>
  <c r="C90" i="3"/>
  <c r="Q90" i="3" s="1"/>
  <c r="D89" i="3"/>
  <c r="C89" i="3"/>
  <c r="AA89" i="3" s="1"/>
  <c r="D88" i="3"/>
  <c r="C88" i="3"/>
  <c r="Q88" i="3" s="1"/>
  <c r="D87" i="3"/>
  <c r="C87" i="3"/>
  <c r="AA87" i="3" s="1"/>
  <c r="D86" i="3"/>
  <c r="C86" i="3"/>
  <c r="Q86" i="3" s="1"/>
  <c r="D85" i="3"/>
  <c r="C85" i="3"/>
  <c r="AA85" i="3" s="1"/>
  <c r="D84" i="3"/>
  <c r="C84" i="3"/>
  <c r="Q84" i="3" s="1"/>
  <c r="D83" i="3"/>
  <c r="C83" i="3"/>
  <c r="AA83" i="3" s="1"/>
  <c r="D82" i="3"/>
  <c r="C82" i="3"/>
  <c r="Q82" i="3" s="1"/>
  <c r="D81" i="3"/>
  <c r="C81" i="3"/>
  <c r="AA81" i="3" s="1"/>
  <c r="D80" i="3"/>
  <c r="C80" i="3"/>
  <c r="Q80" i="3" s="1"/>
  <c r="L78" i="3"/>
  <c r="K78" i="3"/>
  <c r="J78" i="3"/>
  <c r="I78" i="3"/>
  <c r="H78" i="3"/>
  <c r="G78" i="3"/>
  <c r="F78" i="3"/>
  <c r="E78" i="3"/>
  <c r="D78" i="3"/>
  <c r="L76" i="3"/>
  <c r="K76" i="3"/>
  <c r="J76" i="3"/>
  <c r="I76" i="3"/>
  <c r="H76" i="3"/>
  <c r="G76" i="3"/>
  <c r="F76" i="3"/>
  <c r="E76" i="3"/>
  <c r="D76" i="3"/>
  <c r="D75" i="3"/>
  <c r="D182" i="3"/>
  <c r="C182" i="3"/>
  <c r="AA182" i="3" s="1"/>
  <c r="D181" i="3"/>
  <c r="C181" i="3"/>
  <c r="Q181" i="3" s="1"/>
  <c r="D180" i="3"/>
  <c r="C180" i="3"/>
  <c r="AA180" i="3" s="1"/>
  <c r="D179" i="3"/>
  <c r="C179" i="3"/>
  <c r="AA179" i="3" s="1"/>
  <c r="D178" i="3"/>
  <c r="C178" i="3"/>
  <c r="AA178" i="3" s="1"/>
  <c r="D177" i="3"/>
  <c r="C177" i="3"/>
  <c r="AA177" i="3" s="1"/>
  <c r="D176" i="3"/>
  <c r="C176" i="3"/>
  <c r="AA176" i="3" s="1"/>
  <c r="D175" i="3"/>
  <c r="C175" i="3"/>
  <c r="Q175" i="3" s="1"/>
  <c r="D174" i="3"/>
  <c r="C174" i="3"/>
  <c r="AA174" i="3" s="1"/>
  <c r="D173" i="3"/>
  <c r="C173" i="3"/>
  <c r="Q173" i="3" s="1"/>
  <c r="D172" i="3"/>
  <c r="C172" i="3"/>
  <c r="AA172" i="3" s="1"/>
  <c r="D171" i="3"/>
  <c r="C171" i="3"/>
  <c r="Q171" i="3" s="1"/>
  <c r="D170" i="3"/>
  <c r="C170" i="3"/>
  <c r="AA170" i="3" s="1"/>
  <c r="D169" i="3"/>
  <c r="C169" i="3"/>
  <c r="Q169" i="3" s="1"/>
  <c r="D168" i="3"/>
  <c r="C168" i="3"/>
  <c r="AA168" i="3" s="1"/>
  <c r="D167" i="3"/>
  <c r="C167" i="3"/>
  <c r="AA167" i="3" s="1"/>
  <c r="D166" i="3"/>
  <c r="C166" i="3"/>
  <c r="AA166" i="3" s="1"/>
  <c r="D165" i="3"/>
  <c r="C165" i="3"/>
  <c r="Q165" i="3" s="1"/>
  <c r="D164" i="3"/>
  <c r="C164" i="3"/>
  <c r="AA164" i="3" s="1"/>
  <c r="D163" i="3"/>
  <c r="C163" i="3"/>
  <c r="AA163" i="3" s="1"/>
  <c r="D162" i="3"/>
  <c r="C162" i="3"/>
  <c r="AA162" i="3" s="1"/>
  <c r="D161" i="3"/>
  <c r="C161" i="3"/>
  <c r="AA161" i="3" s="1"/>
  <c r="D160" i="3"/>
  <c r="C160" i="3"/>
  <c r="AA160" i="3" s="1"/>
  <c r="D159" i="3"/>
  <c r="C159" i="3"/>
  <c r="Q159" i="3" s="1"/>
  <c r="D158" i="3"/>
  <c r="C158" i="3"/>
  <c r="AA158" i="3" s="1"/>
  <c r="D157" i="3"/>
  <c r="C157" i="3"/>
  <c r="AA157" i="3" s="1"/>
  <c r="D156" i="3"/>
  <c r="C156" i="3"/>
  <c r="AA156" i="3" s="1"/>
  <c r="D155" i="3"/>
  <c r="C155" i="3"/>
  <c r="Q155" i="3" s="1"/>
  <c r="D154" i="3"/>
  <c r="C154" i="3"/>
  <c r="AA154" i="3" s="1"/>
  <c r="D153" i="3"/>
  <c r="C153" i="3"/>
  <c r="AA153" i="3" s="1"/>
  <c r="D152" i="3"/>
  <c r="C152" i="3"/>
  <c r="AA152" i="3" s="1"/>
  <c r="D151" i="3"/>
  <c r="C151" i="3"/>
  <c r="AA151" i="3" s="1"/>
  <c r="D150" i="3"/>
  <c r="C150" i="3"/>
  <c r="AA150" i="3" s="1"/>
  <c r="D149" i="3"/>
  <c r="C149" i="3"/>
  <c r="Q149" i="3" s="1"/>
  <c r="D148" i="3"/>
  <c r="C148" i="3"/>
  <c r="AA148" i="3" s="1"/>
  <c r="D147" i="3"/>
  <c r="C147" i="3"/>
  <c r="Q147" i="3" s="1"/>
  <c r="D146" i="3"/>
  <c r="C146" i="3"/>
  <c r="AA146" i="3" s="1"/>
  <c r="D145" i="3"/>
  <c r="C145" i="3"/>
  <c r="Q145" i="3" s="1"/>
  <c r="D144" i="3"/>
  <c r="C144" i="3"/>
  <c r="AA144" i="3" s="1"/>
  <c r="D143" i="3"/>
  <c r="C143" i="3"/>
  <c r="AA143" i="3" s="1"/>
  <c r="D142" i="3"/>
  <c r="C142" i="3"/>
  <c r="AA142" i="3" s="1"/>
  <c r="D141" i="3"/>
  <c r="C141" i="3"/>
  <c r="Q141" i="3" s="1"/>
  <c r="L139" i="3"/>
  <c r="K139" i="3"/>
  <c r="J139" i="3"/>
  <c r="I139" i="3"/>
  <c r="H139" i="3"/>
  <c r="G139" i="3"/>
  <c r="F139" i="3"/>
  <c r="E139" i="3"/>
  <c r="D139" i="3"/>
  <c r="L137" i="3"/>
  <c r="K137" i="3"/>
  <c r="J137" i="3"/>
  <c r="I137" i="3"/>
  <c r="H137" i="3"/>
  <c r="G137" i="3"/>
  <c r="F137" i="3"/>
  <c r="E137" i="3"/>
  <c r="D137" i="3"/>
  <c r="D136" i="3"/>
  <c r="R181" i="3" s="1"/>
  <c r="Q30" i="3" l="1"/>
  <c r="Q164" i="3"/>
  <c r="S76" i="3"/>
  <c r="W76" i="3"/>
  <c r="R78" i="3"/>
  <c r="V78" i="3"/>
  <c r="Z78" i="3"/>
  <c r="Q178" i="3"/>
  <c r="Q117" i="3"/>
  <c r="Q24" i="3"/>
  <c r="R114" i="3"/>
  <c r="R153" i="3"/>
  <c r="R166" i="3"/>
  <c r="R139" i="3"/>
  <c r="V139" i="3"/>
  <c r="Z139" i="3"/>
  <c r="Q180" i="3"/>
  <c r="R182" i="3"/>
  <c r="Q97" i="3"/>
  <c r="Q46" i="3"/>
  <c r="Q156" i="3"/>
  <c r="R158" i="3"/>
  <c r="R88" i="3"/>
  <c r="R96" i="3"/>
  <c r="Q107" i="3"/>
  <c r="Q48" i="3"/>
  <c r="R21" i="3"/>
  <c r="R43" i="3"/>
  <c r="R59" i="3"/>
  <c r="Q148" i="3"/>
  <c r="Q166" i="3"/>
  <c r="T76" i="3"/>
  <c r="Q85" i="3"/>
  <c r="Q101" i="3"/>
  <c r="AA106" i="3"/>
  <c r="Q109" i="3"/>
  <c r="R15" i="3"/>
  <c r="V15" i="3"/>
  <c r="Z15" i="3"/>
  <c r="R29" i="3"/>
  <c r="Q38" i="3"/>
  <c r="Q54" i="3"/>
  <c r="R145" i="3"/>
  <c r="Q154" i="3"/>
  <c r="Q172" i="3"/>
  <c r="R174" i="3"/>
  <c r="AA82" i="3"/>
  <c r="Q91" i="3"/>
  <c r="AA100" i="3"/>
  <c r="Q103" i="3"/>
  <c r="Q115" i="3"/>
  <c r="R35" i="3"/>
  <c r="Q40" i="3"/>
  <c r="R51" i="3"/>
  <c r="Q56" i="3"/>
  <c r="S139" i="3"/>
  <c r="W139" i="3"/>
  <c r="Q142" i="3"/>
  <c r="R147" i="3"/>
  <c r="Q150" i="3"/>
  <c r="Q158" i="3"/>
  <c r="R160" i="3"/>
  <c r="R168" i="3"/>
  <c r="Q174" i="3"/>
  <c r="R176" i="3"/>
  <c r="Q182" i="3"/>
  <c r="S78" i="3"/>
  <c r="W78" i="3"/>
  <c r="Q81" i="3"/>
  <c r="R84" i="3"/>
  <c r="R90" i="3"/>
  <c r="Q93" i="3"/>
  <c r="AA96" i="3"/>
  <c r="Q99" i="3"/>
  <c r="R102" i="3"/>
  <c r="Q105" i="3"/>
  <c r="R108" i="3"/>
  <c r="Q111" i="3"/>
  <c r="R116" i="3"/>
  <c r="Q119" i="3"/>
  <c r="S15" i="3"/>
  <c r="W15" i="3"/>
  <c r="R17" i="3"/>
  <c r="V17" i="3"/>
  <c r="Z17" i="3"/>
  <c r="R23" i="3"/>
  <c r="Q26" i="3"/>
  <c r="AA29" i="3"/>
  <c r="Q32" i="3"/>
  <c r="R37" i="3"/>
  <c r="R45" i="3"/>
  <c r="R53" i="3"/>
  <c r="Y137" i="3"/>
  <c r="R149" i="3"/>
  <c r="Q152" i="3"/>
  <c r="Q160" i="3"/>
  <c r="R162" i="3"/>
  <c r="Q168" i="3"/>
  <c r="R170" i="3"/>
  <c r="Q176" i="3"/>
  <c r="R178" i="3"/>
  <c r="U76" i="3"/>
  <c r="Y76" i="3"/>
  <c r="T78" i="3"/>
  <c r="X78" i="3"/>
  <c r="R80" i="3"/>
  <c r="R86" i="3"/>
  <c r="Q87" i="3"/>
  <c r="R92" i="3"/>
  <c r="Q95" i="3"/>
  <c r="R98" i="3"/>
  <c r="R104" i="3"/>
  <c r="R110" i="3"/>
  <c r="Q113" i="3"/>
  <c r="R118" i="3"/>
  <c r="Q121" i="3"/>
  <c r="S17" i="3"/>
  <c r="W17" i="3"/>
  <c r="Q20" i="3"/>
  <c r="R25" i="3"/>
  <c r="Q28" i="3"/>
  <c r="R31" i="3"/>
  <c r="Q34" i="3"/>
  <c r="R39" i="3"/>
  <c r="Q42" i="3"/>
  <c r="R47" i="3"/>
  <c r="Q50" i="3"/>
  <c r="R55" i="3"/>
  <c r="Q58" i="3"/>
  <c r="U137" i="3"/>
  <c r="R141" i="3"/>
  <c r="Q144" i="3"/>
  <c r="R137" i="3"/>
  <c r="V137" i="3"/>
  <c r="Z137" i="3"/>
  <c r="R143" i="3"/>
  <c r="Q146" i="3"/>
  <c r="R151" i="3"/>
  <c r="R156" i="3"/>
  <c r="Q162" i="3"/>
  <c r="R164" i="3"/>
  <c r="Q170" i="3"/>
  <c r="R172" i="3"/>
  <c r="R180" i="3"/>
  <c r="R76" i="3"/>
  <c r="V76" i="3"/>
  <c r="Z76" i="3"/>
  <c r="R82" i="3"/>
  <c r="Q83" i="3"/>
  <c r="AA86" i="3"/>
  <c r="Q89" i="3"/>
  <c r="R94" i="3"/>
  <c r="R100" i="3"/>
  <c r="R106" i="3"/>
  <c r="R112" i="3"/>
  <c r="R120" i="3"/>
  <c r="Y17" i="3"/>
  <c r="U15" i="3"/>
  <c r="Y15" i="3"/>
  <c r="T17" i="3"/>
  <c r="X17" i="3"/>
  <c r="R19" i="3"/>
  <c r="Q22" i="3"/>
  <c r="R27" i="3"/>
  <c r="R33" i="3"/>
  <c r="Q36" i="3"/>
  <c r="R41" i="3"/>
  <c r="Q44" i="3"/>
  <c r="R49" i="3"/>
  <c r="Q52" i="3"/>
  <c r="R57" i="3"/>
  <c r="Q60" i="3"/>
  <c r="X65" i="5"/>
  <c r="W70" i="5"/>
  <c r="U18" i="5"/>
  <c r="U26" i="5"/>
  <c r="T42" i="5"/>
  <c r="T10" i="5"/>
  <c r="T34" i="5"/>
  <c r="T26" i="5"/>
  <c r="V72" i="5"/>
  <c r="W66" i="5"/>
  <c r="U34" i="5"/>
  <c r="T18" i="5"/>
  <c r="V68" i="5"/>
  <c r="U10" i="5"/>
  <c r="U42" i="5"/>
  <c r="T38" i="5"/>
  <c r="T22" i="5"/>
  <c r="T6" i="5"/>
  <c r="V70" i="5"/>
  <c r="W72" i="5"/>
  <c r="U6" i="5"/>
  <c r="U22" i="5"/>
  <c r="U38" i="5"/>
  <c r="T46" i="5"/>
  <c r="T30" i="5"/>
  <c r="T14" i="5"/>
  <c r="U65" i="5"/>
  <c r="V66" i="5"/>
  <c r="W68" i="5"/>
  <c r="U14" i="5"/>
  <c r="U30" i="5"/>
  <c r="U46" i="5"/>
  <c r="M47" i="5"/>
  <c r="T45" i="5"/>
  <c r="T41" i="5"/>
  <c r="T37" i="5"/>
  <c r="T33" i="5"/>
  <c r="T29" i="5"/>
  <c r="T25" i="5"/>
  <c r="T21" i="5"/>
  <c r="T17" i="5"/>
  <c r="T13" i="5"/>
  <c r="T9" i="5"/>
  <c r="V65" i="5"/>
  <c r="U72" i="5"/>
  <c r="U70" i="5"/>
  <c r="U68" i="5"/>
  <c r="U66" i="5"/>
  <c r="X73" i="5"/>
  <c r="X71" i="5"/>
  <c r="X69" i="5"/>
  <c r="X67" i="5"/>
  <c r="N47" i="5"/>
  <c r="U7" i="5"/>
  <c r="U11" i="5"/>
  <c r="U15" i="5"/>
  <c r="U19" i="5"/>
  <c r="U23" i="5"/>
  <c r="U27" i="5"/>
  <c r="U31" i="5"/>
  <c r="U35" i="5"/>
  <c r="U39" i="5"/>
  <c r="U43" i="5"/>
  <c r="T44" i="5"/>
  <c r="T40" i="5"/>
  <c r="T36" i="5"/>
  <c r="T32" i="5"/>
  <c r="T28" i="5"/>
  <c r="T24" i="5"/>
  <c r="T20" i="5"/>
  <c r="T16" i="5"/>
  <c r="T12" i="5"/>
  <c r="T8" i="5"/>
  <c r="V73" i="5"/>
  <c r="V71" i="5"/>
  <c r="V69" i="5"/>
  <c r="V67" i="5"/>
  <c r="W73" i="5"/>
  <c r="W71" i="5"/>
  <c r="W69" i="5"/>
  <c r="W67" i="5"/>
  <c r="U8" i="5"/>
  <c r="U12" i="5"/>
  <c r="U16" i="5"/>
  <c r="U20" i="5"/>
  <c r="U24" i="5"/>
  <c r="U28" i="5"/>
  <c r="U32" i="5"/>
  <c r="U36" i="5"/>
  <c r="U40" i="5"/>
  <c r="U44" i="5"/>
  <c r="T5" i="5"/>
  <c r="T43" i="5"/>
  <c r="T39" i="5"/>
  <c r="T35" i="5"/>
  <c r="T31" i="5"/>
  <c r="T27" i="5"/>
  <c r="T23" i="5"/>
  <c r="T19" i="5"/>
  <c r="T15" i="5"/>
  <c r="T11" i="5"/>
  <c r="T7" i="5"/>
  <c r="U73" i="5"/>
  <c r="U71" i="5"/>
  <c r="U69" i="5"/>
  <c r="U67" i="5"/>
  <c r="W65" i="5"/>
  <c r="X72" i="5"/>
  <c r="X70" i="5"/>
  <c r="X68" i="5"/>
  <c r="X66" i="5"/>
  <c r="U5" i="5"/>
  <c r="U9" i="5"/>
  <c r="U13" i="5"/>
  <c r="U17" i="5"/>
  <c r="U21" i="5"/>
  <c r="U25" i="5"/>
  <c r="U29" i="5"/>
  <c r="U33" i="5"/>
  <c r="U37" i="5"/>
  <c r="U41" i="5"/>
  <c r="T15" i="3"/>
  <c r="U17" i="3"/>
  <c r="AA19" i="3"/>
  <c r="AA21" i="3"/>
  <c r="AA23" i="3"/>
  <c r="R20" i="3"/>
  <c r="R22" i="3"/>
  <c r="R24" i="3"/>
  <c r="R26" i="3"/>
  <c r="R28" i="3"/>
  <c r="R30" i="3"/>
  <c r="R32" i="3"/>
  <c r="R34" i="3"/>
  <c r="R36" i="3"/>
  <c r="R38" i="3"/>
  <c r="R40" i="3"/>
  <c r="R42" i="3"/>
  <c r="R44" i="3"/>
  <c r="R46" i="3"/>
  <c r="R48" i="3"/>
  <c r="R50" i="3"/>
  <c r="R52" i="3"/>
  <c r="R54" i="3"/>
  <c r="R56" i="3"/>
  <c r="R58" i="3"/>
  <c r="R60" i="3"/>
  <c r="AA35" i="3"/>
  <c r="AA37" i="3"/>
  <c r="AA39" i="3"/>
  <c r="AA43" i="3"/>
  <c r="AA45" i="3"/>
  <c r="AA49" i="3"/>
  <c r="AA51" i="3"/>
  <c r="AA59" i="3"/>
  <c r="Q25" i="3"/>
  <c r="Q27" i="3"/>
  <c r="Q31" i="3"/>
  <c r="Q33" i="3"/>
  <c r="Q41" i="3"/>
  <c r="Q47" i="3"/>
  <c r="Q53" i="3"/>
  <c r="Q55" i="3"/>
  <c r="Q57" i="3"/>
  <c r="X15" i="3"/>
  <c r="H80" i="5"/>
  <c r="M52" i="5" s="1"/>
  <c r="J80" i="5"/>
  <c r="N52" i="5" s="1"/>
  <c r="J76" i="5"/>
  <c r="J78" i="5" s="1"/>
  <c r="N50" i="5" s="1"/>
  <c r="J79" i="5"/>
  <c r="N51" i="5" s="1"/>
  <c r="H76" i="5"/>
  <c r="H77" i="5" s="1"/>
  <c r="M49" i="5" s="1"/>
  <c r="K77" i="5"/>
  <c r="K78" i="5"/>
  <c r="I77" i="5"/>
  <c r="I78" i="5"/>
  <c r="X76" i="3"/>
  <c r="U78" i="3"/>
  <c r="AA80" i="3"/>
  <c r="AA84" i="3"/>
  <c r="AA104" i="3"/>
  <c r="AA110" i="3"/>
  <c r="AA118" i="3"/>
  <c r="R81" i="3"/>
  <c r="R83" i="3"/>
  <c r="R85" i="3"/>
  <c r="R87" i="3"/>
  <c r="R89" i="3"/>
  <c r="R91" i="3"/>
  <c r="R93" i="3"/>
  <c r="R95" i="3"/>
  <c r="R97" i="3"/>
  <c r="R99" i="3"/>
  <c r="R101" i="3"/>
  <c r="R103" i="3"/>
  <c r="R105" i="3"/>
  <c r="R107" i="3"/>
  <c r="R109" i="3"/>
  <c r="R111" i="3"/>
  <c r="R113" i="3"/>
  <c r="R115" i="3"/>
  <c r="R117" i="3"/>
  <c r="R119" i="3"/>
  <c r="R121" i="3"/>
  <c r="Y78" i="3"/>
  <c r="AA88" i="3"/>
  <c r="AA90" i="3"/>
  <c r="AA92" i="3"/>
  <c r="AA94" i="3"/>
  <c r="AA98" i="3"/>
  <c r="AA102" i="3"/>
  <c r="AA108" i="3"/>
  <c r="AA112" i="3"/>
  <c r="AA114" i="3"/>
  <c r="AA116" i="3"/>
  <c r="AA120" i="3"/>
  <c r="AA169" i="3"/>
  <c r="AA171" i="3"/>
  <c r="R152" i="3"/>
  <c r="R154" i="3"/>
  <c r="T137" i="3"/>
  <c r="X137" i="3"/>
  <c r="Y139" i="3"/>
  <c r="AA141" i="3"/>
  <c r="AA145" i="3"/>
  <c r="AA147" i="3"/>
  <c r="AA149" i="3"/>
  <c r="AA155" i="3"/>
  <c r="AA159" i="3"/>
  <c r="AA165" i="3"/>
  <c r="AA173" i="3"/>
  <c r="AA175" i="3"/>
  <c r="AA181" i="3"/>
  <c r="R142" i="3"/>
  <c r="R144" i="3"/>
  <c r="R146" i="3"/>
  <c r="R148" i="3"/>
  <c r="R150" i="3"/>
  <c r="Q143" i="3"/>
  <c r="Q151" i="3"/>
  <c r="Q153" i="3"/>
  <c r="Q157" i="3"/>
  <c r="Q161" i="3"/>
  <c r="Q163" i="3"/>
  <c r="Q167" i="3"/>
  <c r="Q177" i="3"/>
  <c r="Q179" i="3"/>
  <c r="U139" i="3"/>
  <c r="S137" i="3"/>
  <c r="W137" i="3"/>
  <c r="AF137" i="3" s="1"/>
  <c r="T139" i="3"/>
  <c r="X139" i="3"/>
  <c r="R155" i="3"/>
  <c r="R157" i="3"/>
  <c r="R159" i="3"/>
  <c r="R161" i="3"/>
  <c r="R163" i="3"/>
  <c r="R165" i="3"/>
  <c r="R167" i="3"/>
  <c r="R169" i="3"/>
  <c r="R171" i="3"/>
  <c r="R173" i="3"/>
  <c r="R175" i="3"/>
  <c r="R177" i="3"/>
  <c r="R179" i="3"/>
  <c r="AI76" i="3" l="1"/>
  <c r="AF15" i="3"/>
  <c r="AB53" i="3" s="1"/>
  <c r="AI77" i="3"/>
  <c r="AI16" i="3"/>
  <c r="AF138" i="3"/>
  <c r="AF77" i="3"/>
  <c r="AF79" i="3" s="1"/>
  <c r="AI138" i="3"/>
  <c r="AF76" i="3"/>
  <c r="AB101" i="3" s="1"/>
  <c r="AI15" i="3"/>
  <c r="X74" i="5"/>
  <c r="V75" i="5"/>
  <c r="U74" i="5"/>
  <c r="H78" i="5"/>
  <c r="M50" i="5" s="1"/>
  <c r="W74" i="5"/>
  <c r="X75" i="5"/>
  <c r="V74" i="5"/>
  <c r="W75" i="5"/>
  <c r="U75" i="5"/>
  <c r="J77" i="5"/>
  <c r="N49" i="5" s="1"/>
  <c r="AB23" i="3"/>
  <c r="AB55" i="3"/>
  <c r="AB43" i="3"/>
  <c r="AB54" i="3"/>
  <c r="AB38" i="3"/>
  <c r="AB22" i="3"/>
  <c r="AB44" i="3"/>
  <c r="AB36" i="3"/>
  <c r="AB28" i="3"/>
  <c r="AB20" i="3"/>
  <c r="AB46" i="3"/>
  <c r="AF16" i="3"/>
  <c r="AB30" i="3"/>
  <c r="AB58" i="3"/>
  <c r="AB50" i="3"/>
  <c r="AB42" i="3"/>
  <c r="AB34" i="3"/>
  <c r="AB26" i="3"/>
  <c r="AB56" i="3"/>
  <c r="AB48" i="3"/>
  <c r="AB40" i="3"/>
  <c r="AB32" i="3"/>
  <c r="AB24" i="3"/>
  <c r="AB181" i="3"/>
  <c r="AB178" i="3"/>
  <c r="AB151" i="3"/>
  <c r="AB180" i="3"/>
  <c r="AB153" i="3"/>
  <c r="AB182" i="3"/>
  <c r="AB168" i="3"/>
  <c r="AB156" i="3"/>
  <c r="AB158" i="3"/>
  <c r="AB162" i="3"/>
  <c r="AB176" i="3"/>
  <c r="AB170" i="3"/>
  <c r="AB172" i="3"/>
  <c r="AB160" i="3"/>
  <c r="AB141" i="3"/>
  <c r="AB145" i="3"/>
  <c r="AB149" i="3"/>
  <c r="AB164" i="3"/>
  <c r="AB166" i="3"/>
  <c r="AB147" i="3"/>
  <c r="AB143" i="3"/>
  <c r="AB174" i="3"/>
  <c r="AF140" i="3"/>
  <c r="AF139" i="3"/>
  <c r="AB157" i="3"/>
  <c r="AB179" i="3"/>
  <c r="AB171" i="3"/>
  <c r="AB163" i="3"/>
  <c r="AB155" i="3"/>
  <c r="AB148" i="3"/>
  <c r="AI137" i="3"/>
  <c r="AL137" i="3" s="1"/>
  <c r="AB165" i="3"/>
  <c r="AB150" i="3"/>
  <c r="AB173" i="3"/>
  <c r="AB142" i="3"/>
  <c r="AB177" i="3"/>
  <c r="AB169" i="3"/>
  <c r="AB161" i="3"/>
  <c r="AB146" i="3"/>
  <c r="AB154" i="3"/>
  <c r="AB175" i="3"/>
  <c r="AB167" i="3"/>
  <c r="AB159" i="3"/>
  <c r="AB144" i="3"/>
  <c r="AB152" i="3"/>
  <c r="AB106" i="3" l="1"/>
  <c r="AB41" i="3"/>
  <c r="AB37" i="3"/>
  <c r="AB21" i="3"/>
  <c r="AB25" i="3"/>
  <c r="AB52" i="3"/>
  <c r="AB19" i="3"/>
  <c r="AB39" i="3"/>
  <c r="AB57" i="3"/>
  <c r="AB60" i="3"/>
  <c r="AB49" i="3"/>
  <c r="AB45" i="3"/>
  <c r="AB51" i="3"/>
  <c r="AB27" i="3"/>
  <c r="AB47" i="3"/>
  <c r="AB31" i="3"/>
  <c r="AB59" i="3"/>
  <c r="AL76" i="3"/>
  <c r="AB114" i="3"/>
  <c r="AF78" i="3"/>
  <c r="AB91" i="3"/>
  <c r="AB99" i="3"/>
  <c r="AB35" i="3"/>
  <c r="AB33" i="3"/>
  <c r="AB29" i="3"/>
  <c r="AB97" i="3"/>
  <c r="AB109" i="3"/>
  <c r="AB103" i="3"/>
  <c r="AB112" i="3"/>
  <c r="AB88" i="3"/>
  <c r="AB108" i="3"/>
  <c r="AB80" i="3"/>
  <c r="AB110" i="3"/>
  <c r="AB84" i="3"/>
  <c r="AB92" i="3"/>
  <c r="AB100" i="3"/>
  <c r="AB104" i="3"/>
  <c r="AB82" i="3"/>
  <c r="AB96" i="3"/>
  <c r="AB120" i="3"/>
  <c r="AB102" i="3"/>
  <c r="AB94" i="3"/>
  <c r="AB111" i="3"/>
  <c r="AB117" i="3"/>
  <c r="AB105" i="3"/>
  <c r="AB116" i="3"/>
  <c r="AB98" i="3"/>
  <c r="AB107" i="3"/>
  <c r="AB87" i="3"/>
  <c r="AB119" i="3"/>
  <c r="AB81" i="3"/>
  <c r="AB113" i="3"/>
  <c r="AB86" i="3"/>
  <c r="AB90" i="3"/>
  <c r="AB83" i="3"/>
  <c r="AB115" i="3"/>
  <c r="AB95" i="3"/>
  <c r="AB85" i="3"/>
  <c r="AB89" i="3"/>
  <c r="AB121" i="3"/>
  <c r="AB93" i="3"/>
  <c r="AB118" i="3"/>
  <c r="X77" i="5"/>
  <c r="X76" i="5"/>
  <c r="U77" i="5"/>
  <c r="V76" i="5"/>
  <c r="V77" i="5"/>
  <c r="W77" i="5"/>
  <c r="W76" i="5"/>
  <c r="U76" i="5"/>
  <c r="AF18" i="3"/>
  <c r="AF17" i="3"/>
  <c r="AL15" i="3"/>
  <c r="D243" i="3" l="1"/>
  <c r="C243" i="3"/>
  <c r="AA243" i="3" s="1"/>
  <c r="D242" i="3"/>
  <c r="C242" i="3"/>
  <c r="Q242" i="3" s="1"/>
  <c r="D241" i="3"/>
  <c r="C241" i="3"/>
  <c r="AA241" i="3" s="1"/>
  <c r="D240" i="3"/>
  <c r="C240" i="3"/>
  <c r="Q240" i="3" s="1"/>
  <c r="D239" i="3"/>
  <c r="C239" i="3"/>
  <c r="AA239" i="3" s="1"/>
  <c r="D238" i="3"/>
  <c r="C238" i="3"/>
  <c r="Q238" i="3" s="1"/>
  <c r="D237" i="3"/>
  <c r="C237" i="3"/>
  <c r="AA237" i="3" s="1"/>
  <c r="D236" i="3"/>
  <c r="C236" i="3"/>
  <c r="Q236" i="3" s="1"/>
  <c r="D235" i="3"/>
  <c r="C235" i="3"/>
  <c r="AA235" i="3" s="1"/>
  <c r="D234" i="3"/>
  <c r="C234" i="3"/>
  <c r="Q234" i="3" s="1"/>
  <c r="D233" i="3"/>
  <c r="C233" i="3"/>
  <c r="AA233" i="3" s="1"/>
  <c r="D232" i="3"/>
  <c r="C232" i="3"/>
  <c r="Q232" i="3" s="1"/>
  <c r="D231" i="3"/>
  <c r="C231" i="3"/>
  <c r="AA231" i="3" s="1"/>
  <c r="D230" i="3"/>
  <c r="C230" i="3"/>
  <c r="Q230" i="3" s="1"/>
  <c r="D229" i="3"/>
  <c r="C229" i="3"/>
  <c r="AA229" i="3" s="1"/>
  <c r="D228" i="3"/>
  <c r="C228" i="3"/>
  <c r="Q228" i="3" s="1"/>
  <c r="D227" i="3"/>
  <c r="C227" i="3"/>
  <c r="AA227" i="3" s="1"/>
  <c r="D226" i="3"/>
  <c r="C226" i="3"/>
  <c r="Q226" i="3" s="1"/>
  <c r="D225" i="3"/>
  <c r="C225" i="3"/>
  <c r="AA225" i="3" s="1"/>
  <c r="D224" i="3"/>
  <c r="C224" i="3"/>
  <c r="Q224" i="3" s="1"/>
  <c r="D223" i="3"/>
  <c r="C223" i="3"/>
  <c r="AA223" i="3" s="1"/>
  <c r="D222" i="3"/>
  <c r="C222" i="3"/>
  <c r="Q222" i="3" s="1"/>
  <c r="D221" i="3"/>
  <c r="C221" i="3"/>
  <c r="AA221" i="3" s="1"/>
  <c r="D220" i="3"/>
  <c r="C220" i="3"/>
  <c r="Q220" i="3" s="1"/>
  <c r="D219" i="3"/>
  <c r="C219" i="3"/>
  <c r="AA219" i="3" s="1"/>
  <c r="D218" i="3"/>
  <c r="C218" i="3"/>
  <c r="Q218" i="3" s="1"/>
  <c r="D217" i="3"/>
  <c r="C217" i="3"/>
  <c r="AA217" i="3" s="1"/>
  <c r="D216" i="3"/>
  <c r="C216" i="3"/>
  <c r="Q216" i="3" s="1"/>
  <c r="D215" i="3"/>
  <c r="C215" i="3"/>
  <c r="AA215" i="3" s="1"/>
  <c r="D214" i="3"/>
  <c r="C214" i="3"/>
  <c r="Q214" i="3" s="1"/>
  <c r="D213" i="3"/>
  <c r="C213" i="3"/>
  <c r="AA213" i="3" s="1"/>
  <c r="D212" i="3"/>
  <c r="C212" i="3"/>
  <c r="Q212" i="3" s="1"/>
  <c r="D211" i="3"/>
  <c r="C211" i="3"/>
  <c r="AA211" i="3" s="1"/>
  <c r="D210" i="3"/>
  <c r="C210" i="3"/>
  <c r="Q210" i="3" s="1"/>
  <c r="D209" i="3"/>
  <c r="C209" i="3"/>
  <c r="AA209" i="3" s="1"/>
  <c r="D208" i="3"/>
  <c r="C208" i="3"/>
  <c r="Q208" i="3" s="1"/>
  <c r="D207" i="3"/>
  <c r="C207" i="3"/>
  <c r="AA207" i="3" s="1"/>
  <c r="D206" i="3"/>
  <c r="C206" i="3"/>
  <c r="Q206" i="3" s="1"/>
  <c r="D205" i="3"/>
  <c r="C205" i="3"/>
  <c r="AA205" i="3" s="1"/>
  <c r="D204" i="3"/>
  <c r="C204" i="3"/>
  <c r="Q204" i="3" s="1"/>
  <c r="D203" i="3"/>
  <c r="C203" i="3"/>
  <c r="AA203" i="3" s="1"/>
  <c r="D202" i="3"/>
  <c r="C202" i="3"/>
  <c r="Q202" i="3" s="1"/>
  <c r="L200" i="3"/>
  <c r="K200" i="3"/>
  <c r="J200" i="3"/>
  <c r="I200" i="3"/>
  <c r="H200" i="3"/>
  <c r="G200" i="3"/>
  <c r="F200" i="3"/>
  <c r="E200" i="3"/>
  <c r="D200" i="3"/>
  <c r="L198" i="3"/>
  <c r="K198" i="3"/>
  <c r="J198" i="3"/>
  <c r="I198" i="3"/>
  <c r="H198" i="3"/>
  <c r="G198" i="3"/>
  <c r="F198" i="3"/>
  <c r="E198" i="3"/>
  <c r="D198" i="3"/>
  <c r="D197" i="3"/>
  <c r="D303" i="3"/>
  <c r="C303" i="3"/>
  <c r="AA303" i="3" s="1"/>
  <c r="D302" i="3"/>
  <c r="C302" i="3"/>
  <c r="Q302" i="3" s="1"/>
  <c r="D301" i="3"/>
  <c r="C301" i="3"/>
  <c r="AA301" i="3" s="1"/>
  <c r="D300" i="3"/>
  <c r="C300" i="3"/>
  <c r="Q300" i="3" s="1"/>
  <c r="D299" i="3"/>
  <c r="C299" i="3"/>
  <c r="AA299" i="3" s="1"/>
  <c r="D298" i="3"/>
  <c r="C298" i="3"/>
  <c r="Q298" i="3" s="1"/>
  <c r="D297" i="3"/>
  <c r="C297" i="3"/>
  <c r="AA297" i="3" s="1"/>
  <c r="D296" i="3"/>
  <c r="C296" i="3"/>
  <c r="Q296" i="3" s="1"/>
  <c r="D295" i="3"/>
  <c r="C295" i="3"/>
  <c r="AA295" i="3" s="1"/>
  <c r="D294" i="3"/>
  <c r="C294" i="3"/>
  <c r="Q294" i="3" s="1"/>
  <c r="D293" i="3"/>
  <c r="C293" i="3"/>
  <c r="AA293" i="3" s="1"/>
  <c r="D292" i="3"/>
  <c r="C292" i="3"/>
  <c r="Q292" i="3" s="1"/>
  <c r="D291" i="3"/>
  <c r="C291" i="3"/>
  <c r="AA291" i="3" s="1"/>
  <c r="D290" i="3"/>
  <c r="C290" i="3"/>
  <c r="Q290" i="3" s="1"/>
  <c r="D289" i="3"/>
  <c r="C289" i="3"/>
  <c r="AA289" i="3" s="1"/>
  <c r="D288" i="3"/>
  <c r="C288" i="3"/>
  <c r="Q288" i="3" s="1"/>
  <c r="D287" i="3"/>
  <c r="C287" i="3"/>
  <c r="AA287" i="3" s="1"/>
  <c r="D286" i="3"/>
  <c r="C286" i="3"/>
  <c r="Q286" i="3" s="1"/>
  <c r="D285" i="3"/>
  <c r="C285" i="3"/>
  <c r="AA285" i="3" s="1"/>
  <c r="D284" i="3"/>
  <c r="C284" i="3"/>
  <c r="Q284" i="3" s="1"/>
  <c r="D283" i="3"/>
  <c r="C283" i="3"/>
  <c r="AA283" i="3" s="1"/>
  <c r="D282" i="3"/>
  <c r="C282" i="3"/>
  <c r="Q282" i="3" s="1"/>
  <c r="D281" i="3"/>
  <c r="C281" i="3"/>
  <c r="AA281" i="3" s="1"/>
  <c r="D280" i="3"/>
  <c r="C280" i="3"/>
  <c r="Q280" i="3" s="1"/>
  <c r="D279" i="3"/>
  <c r="C279" i="3"/>
  <c r="AA279" i="3" s="1"/>
  <c r="D278" i="3"/>
  <c r="C278" i="3"/>
  <c r="Q278" i="3" s="1"/>
  <c r="D277" i="3"/>
  <c r="C277" i="3"/>
  <c r="AA277" i="3" s="1"/>
  <c r="D276" i="3"/>
  <c r="C276" i="3"/>
  <c r="Q276" i="3" s="1"/>
  <c r="D275" i="3"/>
  <c r="C275" i="3"/>
  <c r="AA275" i="3" s="1"/>
  <c r="D274" i="3"/>
  <c r="C274" i="3"/>
  <c r="Q274" i="3" s="1"/>
  <c r="D273" i="3"/>
  <c r="C273" i="3"/>
  <c r="AA273" i="3" s="1"/>
  <c r="D272" i="3"/>
  <c r="C272" i="3"/>
  <c r="Q272" i="3" s="1"/>
  <c r="D271" i="3"/>
  <c r="C271" i="3"/>
  <c r="AA271" i="3" s="1"/>
  <c r="D270" i="3"/>
  <c r="C270" i="3"/>
  <c r="Q270" i="3" s="1"/>
  <c r="D269" i="3"/>
  <c r="C269" i="3"/>
  <c r="AA269" i="3" s="1"/>
  <c r="D268" i="3"/>
  <c r="C268" i="3"/>
  <c r="Q268" i="3" s="1"/>
  <c r="D267" i="3"/>
  <c r="C267" i="3"/>
  <c r="AA267" i="3" s="1"/>
  <c r="D266" i="3"/>
  <c r="C266" i="3"/>
  <c r="Q266" i="3" s="1"/>
  <c r="D265" i="3"/>
  <c r="C265" i="3"/>
  <c r="AA265" i="3" s="1"/>
  <c r="D264" i="3"/>
  <c r="C264" i="3"/>
  <c r="Q264" i="3" s="1"/>
  <c r="D263" i="3"/>
  <c r="C263" i="3"/>
  <c r="AA263" i="3" s="1"/>
  <c r="D262" i="3"/>
  <c r="C262" i="3"/>
  <c r="Q262" i="3" s="1"/>
  <c r="L260" i="3"/>
  <c r="K260" i="3"/>
  <c r="J260" i="3"/>
  <c r="I260" i="3"/>
  <c r="H260" i="3"/>
  <c r="G260" i="3"/>
  <c r="F260" i="3"/>
  <c r="E260" i="3"/>
  <c r="D260" i="3"/>
  <c r="L258" i="3"/>
  <c r="K258" i="3"/>
  <c r="J258" i="3"/>
  <c r="I258" i="3"/>
  <c r="H258" i="3"/>
  <c r="G258" i="3"/>
  <c r="F258" i="3"/>
  <c r="E258" i="3"/>
  <c r="D258" i="3"/>
  <c r="D257" i="3"/>
  <c r="D363" i="3"/>
  <c r="C363" i="3"/>
  <c r="AA363" i="3" s="1"/>
  <c r="D362" i="3"/>
  <c r="C362" i="3"/>
  <c r="Q362" i="3" s="1"/>
  <c r="D361" i="3"/>
  <c r="C361" i="3"/>
  <c r="AA361" i="3" s="1"/>
  <c r="D360" i="3"/>
  <c r="C360" i="3"/>
  <c r="Q360" i="3" s="1"/>
  <c r="D359" i="3"/>
  <c r="C359" i="3"/>
  <c r="AA359" i="3" s="1"/>
  <c r="D358" i="3"/>
  <c r="C358" i="3"/>
  <c r="Q358" i="3" s="1"/>
  <c r="D357" i="3"/>
  <c r="C357" i="3"/>
  <c r="AA357" i="3" s="1"/>
  <c r="D356" i="3"/>
  <c r="C356" i="3"/>
  <c r="Q356" i="3" s="1"/>
  <c r="D355" i="3"/>
  <c r="C355" i="3"/>
  <c r="AA355" i="3" s="1"/>
  <c r="D354" i="3"/>
  <c r="C354" i="3"/>
  <c r="Q354" i="3" s="1"/>
  <c r="D353" i="3"/>
  <c r="C353" i="3"/>
  <c r="AA353" i="3" s="1"/>
  <c r="D352" i="3"/>
  <c r="C352" i="3"/>
  <c r="Q352" i="3" s="1"/>
  <c r="D351" i="3"/>
  <c r="C351" i="3"/>
  <c r="AA351" i="3" s="1"/>
  <c r="D350" i="3"/>
  <c r="C350" i="3"/>
  <c r="Q350" i="3" s="1"/>
  <c r="D349" i="3"/>
  <c r="C349" i="3"/>
  <c r="AA349" i="3" s="1"/>
  <c r="D348" i="3"/>
  <c r="C348" i="3"/>
  <c r="Q348" i="3" s="1"/>
  <c r="D347" i="3"/>
  <c r="C347" i="3"/>
  <c r="AA347" i="3" s="1"/>
  <c r="D346" i="3"/>
  <c r="C346" i="3"/>
  <c r="Q346" i="3" s="1"/>
  <c r="D345" i="3"/>
  <c r="C345" i="3"/>
  <c r="AA345" i="3" s="1"/>
  <c r="D344" i="3"/>
  <c r="C344" i="3"/>
  <c r="Q344" i="3" s="1"/>
  <c r="D343" i="3"/>
  <c r="C343" i="3"/>
  <c r="AA343" i="3" s="1"/>
  <c r="D342" i="3"/>
  <c r="C342" i="3"/>
  <c r="Q342" i="3" s="1"/>
  <c r="D341" i="3"/>
  <c r="C341" i="3"/>
  <c r="AA341" i="3" s="1"/>
  <c r="D340" i="3"/>
  <c r="C340" i="3"/>
  <c r="Q340" i="3" s="1"/>
  <c r="D339" i="3"/>
  <c r="C339" i="3"/>
  <c r="AA339" i="3" s="1"/>
  <c r="D338" i="3"/>
  <c r="C338" i="3"/>
  <c r="Q338" i="3" s="1"/>
  <c r="D337" i="3"/>
  <c r="C337" i="3"/>
  <c r="AA337" i="3" s="1"/>
  <c r="D336" i="3"/>
  <c r="C336" i="3"/>
  <c r="Q336" i="3" s="1"/>
  <c r="D335" i="3"/>
  <c r="C335" i="3"/>
  <c r="AA335" i="3" s="1"/>
  <c r="D334" i="3"/>
  <c r="C334" i="3"/>
  <c r="Q334" i="3" s="1"/>
  <c r="D333" i="3"/>
  <c r="C333" i="3"/>
  <c r="AA333" i="3" s="1"/>
  <c r="D332" i="3"/>
  <c r="C332" i="3"/>
  <c r="Q332" i="3" s="1"/>
  <c r="D331" i="3"/>
  <c r="C331" i="3"/>
  <c r="AA331" i="3" s="1"/>
  <c r="D330" i="3"/>
  <c r="C330" i="3"/>
  <c r="Q330" i="3" s="1"/>
  <c r="D329" i="3"/>
  <c r="C329" i="3"/>
  <c r="AA329" i="3" s="1"/>
  <c r="D328" i="3"/>
  <c r="C328" i="3"/>
  <c r="Q328" i="3" s="1"/>
  <c r="D327" i="3"/>
  <c r="C327" i="3"/>
  <c r="AA327" i="3" s="1"/>
  <c r="D326" i="3"/>
  <c r="C326" i="3"/>
  <c r="Q326" i="3" s="1"/>
  <c r="D325" i="3"/>
  <c r="C325" i="3"/>
  <c r="AA325" i="3" s="1"/>
  <c r="D324" i="3"/>
  <c r="C324" i="3"/>
  <c r="Q324" i="3" s="1"/>
  <c r="D323" i="3"/>
  <c r="C323" i="3"/>
  <c r="AA323" i="3" s="1"/>
  <c r="D322" i="3"/>
  <c r="C322" i="3"/>
  <c r="Q322" i="3" s="1"/>
  <c r="L320" i="3"/>
  <c r="K320" i="3"/>
  <c r="J320" i="3"/>
  <c r="I320" i="3"/>
  <c r="H320" i="3"/>
  <c r="G320" i="3"/>
  <c r="F320" i="3"/>
  <c r="E320" i="3"/>
  <c r="D320" i="3"/>
  <c r="L318" i="3"/>
  <c r="K318" i="3"/>
  <c r="J318" i="3"/>
  <c r="I318" i="3"/>
  <c r="H318" i="3"/>
  <c r="G318" i="3"/>
  <c r="F318" i="3"/>
  <c r="E318" i="3"/>
  <c r="D318" i="3"/>
  <c r="D317" i="3"/>
  <c r="V320" i="3" s="1"/>
  <c r="Q343" i="3" l="1"/>
  <c r="V200" i="3"/>
  <c r="V260" i="3"/>
  <c r="Q227" i="3"/>
  <c r="Q331" i="3"/>
  <c r="AA362" i="3"/>
  <c r="AA268" i="3"/>
  <c r="AA334" i="3"/>
  <c r="Q353" i="3"/>
  <c r="AA322" i="3"/>
  <c r="Q271" i="3"/>
  <c r="Q223" i="3"/>
  <c r="AA330" i="3"/>
  <c r="Q333" i="3"/>
  <c r="Q281" i="3"/>
  <c r="AA302" i="3"/>
  <c r="Q323" i="3"/>
  <c r="Q363" i="3"/>
  <c r="Q263" i="3"/>
  <c r="Q287" i="3"/>
  <c r="Q239" i="3"/>
  <c r="Q207" i="3"/>
  <c r="Q243" i="3"/>
  <c r="AA326" i="3"/>
  <c r="Q337" i="3"/>
  <c r="AA346" i="3"/>
  <c r="Q349" i="3"/>
  <c r="AA264" i="3"/>
  <c r="AA272" i="3"/>
  <c r="Q279" i="3"/>
  <c r="Q295" i="3"/>
  <c r="Q203" i="3"/>
  <c r="R214" i="3"/>
  <c r="Q219" i="3"/>
  <c r="R230" i="3"/>
  <c r="Q235" i="3"/>
  <c r="U198" i="3"/>
  <c r="Y198" i="3"/>
  <c r="T200" i="3"/>
  <c r="X200" i="3"/>
  <c r="R202" i="3"/>
  <c r="R218" i="3"/>
  <c r="R234" i="3"/>
  <c r="Q299" i="3"/>
  <c r="R206" i="3"/>
  <c r="Q211" i="3"/>
  <c r="R222" i="3"/>
  <c r="R238" i="3"/>
  <c r="Q327" i="3"/>
  <c r="Q347" i="3"/>
  <c r="AA350" i="3"/>
  <c r="Q359" i="3"/>
  <c r="Q267" i="3"/>
  <c r="Q275" i="3"/>
  <c r="Q289" i="3"/>
  <c r="AA298" i="3"/>
  <c r="Q301" i="3"/>
  <c r="S198" i="3"/>
  <c r="R200" i="3"/>
  <c r="Z200" i="3"/>
  <c r="R210" i="3"/>
  <c r="Q215" i="3"/>
  <c r="R226" i="3"/>
  <c r="Q231" i="3"/>
  <c r="R242" i="3"/>
  <c r="W198" i="3"/>
  <c r="R203" i="3"/>
  <c r="R204" i="3"/>
  <c r="R207" i="3"/>
  <c r="R208" i="3"/>
  <c r="R211" i="3"/>
  <c r="R212" i="3"/>
  <c r="R215" i="3"/>
  <c r="R216" i="3"/>
  <c r="R219" i="3"/>
  <c r="R220" i="3"/>
  <c r="R223" i="3"/>
  <c r="R224" i="3"/>
  <c r="R227" i="3"/>
  <c r="R228" i="3"/>
  <c r="R231" i="3"/>
  <c r="R232" i="3"/>
  <c r="R235" i="3"/>
  <c r="R236" i="3"/>
  <c r="R239" i="3"/>
  <c r="R240" i="3"/>
  <c r="R243" i="3"/>
  <c r="Y258" i="3"/>
  <c r="R198" i="3"/>
  <c r="V198" i="3"/>
  <c r="Z198" i="3"/>
  <c r="U200" i="3"/>
  <c r="Y200" i="3"/>
  <c r="R320" i="3"/>
  <c r="Z320" i="3"/>
  <c r="Q325" i="3"/>
  <c r="Q329" i="3"/>
  <c r="Q339" i="3"/>
  <c r="AA342" i="3"/>
  <c r="Q345" i="3"/>
  <c r="Q355" i="3"/>
  <c r="AA358" i="3"/>
  <c r="Q361" i="3"/>
  <c r="AA262" i="3"/>
  <c r="AA266" i="3"/>
  <c r="AA270" i="3"/>
  <c r="AA274" i="3"/>
  <c r="Q283" i="3"/>
  <c r="Q291" i="3"/>
  <c r="AA294" i="3"/>
  <c r="Q297" i="3"/>
  <c r="R205" i="3"/>
  <c r="R209" i="3"/>
  <c r="R213" i="3"/>
  <c r="R217" i="3"/>
  <c r="R221" i="3"/>
  <c r="R225" i="3"/>
  <c r="R229" i="3"/>
  <c r="R233" i="3"/>
  <c r="R237" i="3"/>
  <c r="R241" i="3"/>
  <c r="Y318" i="3"/>
  <c r="AA324" i="3"/>
  <c r="AA328" i="3"/>
  <c r="Q335" i="3"/>
  <c r="AA338" i="3"/>
  <c r="Q341" i="3"/>
  <c r="Q351" i="3"/>
  <c r="AA354" i="3"/>
  <c r="Q357" i="3"/>
  <c r="R260" i="3"/>
  <c r="Z260" i="3"/>
  <c r="Q265" i="3"/>
  <c r="Q269" i="3"/>
  <c r="Q273" i="3"/>
  <c r="Q277" i="3"/>
  <c r="Q285" i="3"/>
  <c r="Q293" i="3"/>
  <c r="Q303" i="3"/>
  <c r="T198" i="3"/>
  <c r="X198" i="3"/>
  <c r="S200" i="3"/>
  <c r="W200" i="3"/>
  <c r="Q205" i="3"/>
  <c r="Q209" i="3"/>
  <c r="Q213" i="3"/>
  <c r="Q217" i="3"/>
  <c r="Q221" i="3"/>
  <c r="Q225" i="3"/>
  <c r="Q229" i="3"/>
  <c r="Q233" i="3"/>
  <c r="Q237" i="3"/>
  <c r="Q241" i="3"/>
  <c r="AA202" i="3"/>
  <c r="AA204" i="3"/>
  <c r="AA206" i="3"/>
  <c r="AA208" i="3"/>
  <c r="AA210" i="3"/>
  <c r="AA212" i="3"/>
  <c r="AA214" i="3"/>
  <c r="AA216" i="3"/>
  <c r="AA218" i="3"/>
  <c r="AA220" i="3"/>
  <c r="AA222" i="3"/>
  <c r="AA224" i="3"/>
  <c r="AA226" i="3"/>
  <c r="AA228" i="3"/>
  <c r="AA230" i="3"/>
  <c r="AA232" i="3"/>
  <c r="AA234" i="3"/>
  <c r="AA236" i="3"/>
  <c r="AA238" i="3"/>
  <c r="AA240" i="3"/>
  <c r="AA242" i="3"/>
  <c r="U258" i="3"/>
  <c r="R262" i="3"/>
  <c r="R264" i="3"/>
  <c r="R266" i="3"/>
  <c r="R268" i="3"/>
  <c r="R270" i="3"/>
  <c r="R272" i="3"/>
  <c r="R274" i="3"/>
  <c r="R303" i="3"/>
  <c r="R301" i="3"/>
  <c r="R299" i="3"/>
  <c r="R297" i="3"/>
  <c r="R295" i="3"/>
  <c r="R293" i="3"/>
  <c r="X258" i="3"/>
  <c r="Y260" i="3"/>
  <c r="R276" i="3"/>
  <c r="R278" i="3"/>
  <c r="R280" i="3"/>
  <c r="R282" i="3"/>
  <c r="R284" i="3"/>
  <c r="R286" i="3"/>
  <c r="R288" i="3"/>
  <c r="R290" i="3"/>
  <c r="R292" i="3"/>
  <c r="R296" i="3"/>
  <c r="R300" i="3"/>
  <c r="R258" i="3"/>
  <c r="V258" i="3"/>
  <c r="Z258" i="3"/>
  <c r="S260" i="3"/>
  <c r="W260" i="3"/>
  <c r="R263" i="3"/>
  <c r="R265" i="3"/>
  <c r="R267" i="3"/>
  <c r="R269" i="3"/>
  <c r="R271" i="3"/>
  <c r="R273" i="3"/>
  <c r="R275" i="3"/>
  <c r="AA276" i="3"/>
  <c r="AA278" i="3"/>
  <c r="AA280" i="3"/>
  <c r="AA282" i="3"/>
  <c r="AA284" i="3"/>
  <c r="AA286" i="3"/>
  <c r="AA288" i="3"/>
  <c r="AA290" i="3"/>
  <c r="AA292" i="3"/>
  <c r="AA296" i="3"/>
  <c r="AA300" i="3"/>
  <c r="S258" i="3"/>
  <c r="W258" i="3"/>
  <c r="T258" i="3"/>
  <c r="T260" i="3"/>
  <c r="X260" i="3"/>
  <c r="U260" i="3"/>
  <c r="R277" i="3"/>
  <c r="R279" i="3"/>
  <c r="R281" i="3"/>
  <c r="R283" i="3"/>
  <c r="R285" i="3"/>
  <c r="R287" i="3"/>
  <c r="R289" i="3"/>
  <c r="R291" i="3"/>
  <c r="R294" i="3"/>
  <c r="R298" i="3"/>
  <c r="R302" i="3"/>
  <c r="U318" i="3"/>
  <c r="R322" i="3"/>
  <c r="R324" i="3"/>
  <c r="R326" i="3"/>
  <c r="R328" i="3"/>
  <c r="R363" i="3"/>
  <c r="R361" i="3"/>
  <c r="R359" i="3"/>
  <c r="R357" i="3"/>
  <c r="R355" i="3"/>
  <c r="R353" i="3"/>
  <c r="R351" i="3"/>
  <c r="R349" i="3"/>
  <c r="R347" i="3"/>
  <c r="R345" i="3"/>
  <c r="R343" i="3"/>
  <c r="R341" i="3"/>
  <c r="R339" i="3"/>
  <c r="R337" i="3"/>
  <c r="R335" i="3"/>
  <c r="R333" i="3"/>
  <c r="R331" i="3"/>
  <c r="R329" i="3"/>
  <c r="X318" i="3"/>
  <c r="Y320" i="3"/>
  <c r="R332" i="3"/>
  <c r="R336" i="3"/>
  <c r="R340" i="3"/>
  <c r="R344" i="3"/>
  <c r="R348" i="3"/>
  <c r="R352" i="3"/>
  <c r="R356" i="3"/>
  <c r="R360" i="3"/>
  <c r="R318" i="3"/>
  <c r="V318" i="3"/>
  <c r="Z318" i="3"/>
  <c r="S320" i="3"/>
  <c r="W320" i="3"/>
  <c r="R323" i="3"/>
  <c r="R325" i="3"/>
  <c r="R327" i="3"/>
  <c r="AA332" i="3"/>
  <c r="AA336" i="3"/>
  <c r="AA340" i="3"/>
  <c r="AA344" i="3"/>
  <c r="AA348" i="3"/>
  <c r="AA352" i="3"/>
  <c r="AA356" i="3"/>
  <c r="AA360" i="3"/>
  <c r="S318" i="3"/>
  <c r="W318" i="3"/>
  <c r="T318" i="3"/>
  <c r="T320" i="3"/>
  <c r="X320" i="3"/>
  <c r="U320" i="3"/>
  <c r="R330" i="3"/>
  <c r="R334" i="3"/>
  <c r="R338" i="3"/>
  <c r="R342" i="3"/>
  <c r="R346" i="3"/>
  <c r="R350" i="3"/>
  <c r="R354" i="3"/>
  <c r="R358" i="3"/>
  <c r="R362" i="3"/>
  <c r="AI198" i="3" l="1"/>
  <c r="AF198" i="3"/>
  <c r="AB202" i="3" s="1"/>
  <c r="AF199" i="3"/>
  <c r="AI199" i="3"/>
  <c r="AI319" i="3"/>
  <c r="AB236" i="3"/>
  <c r="AB220" i="3"/>
  <c r="AB204" i="3"/>
  <c r="AB238" i="3"/>
  <c r="AB222" i="3"/>
  <c r="AI259" i="3"/>
  <c r="AB235" i="3"/>
  <c r="AB219" i="3"/>
  <c r="AB203" i="3"/>
  <c r="AB233" i="3"/>
  <c r="AB217" i="3"/>
  <c r="AB228" i="3"/>
  <c r="AB212" i="3"/>
  <c r="AB230" i="3"/>
  <c r="AB209" i="3"/>
  <c r="AB243" i="3"/>
  <c r="AB227" i="3"/>
  <c r="AB211" i="3"/>
  <c r="AB241" i="3"/>
  <c r="AB225" i="3"/>
  <c r="AF201" i="3"/>
  <c r="AB214" i="3"/>
  <c r="AB206" i="3"/>
  <c r="AB240" i="3"/>
  <c r="AB232" i="3"/>
  <c r="AB224" i="3"/>
  <c r="AB216" i="3"/>
  <c r="AB208" i="3"/>
  <c r="AB237" i="3"/>
  <c r="AB229" i="3"/>
  <c r="AB221" i="3"/>
  <c r="AB213" i="3"/>
  <c r="AB205" i="3"/>
  <c r="AB239" i="3"/>
  <c r="AB231" i="3"/>
  <c r="AB223" i="3"/>
  <c r="AB215" i="3"/>
  <c r="AB207" i="3"/>
  <c r="AB242" i="3"/>
  <c r="AB234" i="3"/>
  <c r="AB226" i="3"/>
  <c r="AB218" i="3"/>
  <c r="AB210" i="3"/>
  <c r="AF258" i="3"/>
  <c r="AB298" i="3" s="1"/>
  <c r="AF259" i="3"/>
  <c r="AI258" i="3"/>
  <c r="AF318" i="3"/>
  <c r="AB338" i="3" s="1"/>
  <c r="AF319" i="3"/>
  <c r="AI318" i="3"/>
  <c r="D423" i="3"/>
  <c r="C423" i="3"/>
  <c r="AA423" i="3" s="1"/>
  <c r="D422" i="3"/>
  <c r="C422" i="3"/>
  <c r="Q422" i="3" s="1"/>
  <c r="D421" i="3"/>
  <c r="C421" i="3"/>
  <c r="AA421" i="3" s="1"/>
  <c r="D420" i="3"/>
  <c r="C420" i="3"/>
  <c r="Q420" i="3" s="1"/>
  <c r="D419" i="3"/>
  <c r="C419" i="3"/>
  <c r="AA419" i="3" s="1"/>
  <c r="D418" i="3"/>
  <c r="C418" i="3"/>
  <c r="Q418" i="3" s="1"/>
  <c r="D417" i="3"/>
  <c r="C417" i="3"/>
  <c r="AA417" i="3" s="1"/>
  <c r="D416" i="3"/>
  <c r="C416" i="3"/>
  <c r="Q416" i="3" s="1"/>
  <c r="D415" i="3"/>
  <c r="C415" i="3"/>
  <c r="AA415" i="3" s="1"/>
  <c r="D414" i="3"/>
  <c r="C414" i="3"/>
  <c r="Q414" i="3" s="1"/>
  <c r="D413" i="3"/>
  <c r="C413" i="3"/>
  <c r="AA413" i="3" s="1"/>
  <c r="D412" i="3"/>
  <c r="C412" i="3"/>
  <c r="Q412" i="3" s="1"/>
  <c r="D411" i="3"/>
  <c r="C411" i="3"/>
  <c r="AA411" i="3" s="1"/>
  <c r="D410" i="3"/>
  <c r="C410" i="3"/>
  <c r="Q410" i="3" s="1"/>
  <c r="D409" i="3"/>
  <c r="C409" i="3"/>
  <c r="AA409" i="3" s="1"/>
  <c r="D408" i="3"/>
  <c r="C408" i="3"/>
  <c r="Q408" i="3" s="1"/>
  <c r="D407" i="3"/>
  <c r="C407" i="3"/>
  <c r="AA407" i="3" s="1"/>
  <c r="D406" i="3"/>
  <c r="C406" i="3"/>
  <c r="Q406" i="3" s="1"/>
  <c r="D405" i="3"/>
  <c r="C405" i="3"/>
  <c r="AA405" i="3" s="1"/>
  <c r="D404" i="3"/>
  <c r="C404" i="3"/>
  <c r="Q404" i="3" s="1"/>
  <c r="D403" i="3"/>
  <c r="C403" i="3"/>
  <c r="AA403" i="3" s="1"/>
  <c r="D402" i="3"/>
  <c r="C402" i="3"/>
  <c r="Q402" i="3" s="1"/>
  <c r="D401" i="3"/>
  <c r="C401" i="3"/>
  <c r="AA401" i="3" s="1"/>
  <c r="D400" i="3"/>
  <c r="C400" i="3"/>
  <c r="Q400" i="3" s="1"/>
  <c r="D399" i="3"/>
  <c r="C399" i="3"/>
  <c r="AA399" i="3" s="1"/>
  <c r="D398" i="3"/>
  <c r="C398" i="3"/>
  <c r="Q398" i="3" s="1"/>
  <c r="D397" i="3"/>
  <c r="C397" i="3"/>
  <c r="AA397" i="3" s="1"/>
  <c r="D396" i="3"/>
  <c r="C396" i="3"/>
  <c r="Q396" i="3" s="1"/>
  <c r="D395" i="3"/>
  <c r="C395" i="3"/>
  <c r="AA395" i="3" s="1"/>
  <c r="D394" i="3"/>
  <c r="C394" i="3"/>
  <c r="Q394" i="3" s="1"/>
  <c r="D393" i="3"/>
  <c r="C393" i="3"/>
  <c r="AA393" i="3" s="1"/>
  <c r="D392" i="3"/>
  <c r="C392" i="3"/>
  <c r="Q392" i="3" s="1"/>
  <c r="D391" i="3"/>
  <c r="C391" i="3"/>
  <c r="AA391" i="3" s="1"/>
  <c r="D390" i="3"/>
  <c r="C390" i="3"/>
  <c r="Q390" i="3" s="1"/>
  <c r="D389" i="3"/>
  <c r="C389" i="3"/>
  <c r="AA389" i="3" s="1"/>
  <c r="D388" i="3"/>
  <c r="C388" i="3"/>
  <c r="Q388" i="3" s="1"/>
  <c r="D387" i="3"/>
  <c r="C387" i="3"/>
  <c r="AA387" i="3" s="1"/>
  <c r="D386" i="3"/>
  <c r="C386" i="3"/>
  <c r="Q386" i="3" s="1"/>
  <c r="D385" i="3"/>
  <c r="C385" i="3"/>
  <c r="AA385" i="3" s="1"/>
  <c r="D384" i="3"/>
  <c r="C384" i="3"/>
  <c r="Q384" i="3" s="1"/>
  <c r="D383" i="3"/>
  <c r="C383" i="3"/>
  <c r="AA383" i="3" s="1"/>
  <c r="D382" i="3"/>
  <c r="C382" i="3"/>
  <c r="Q382" i="3" s="1"/>
  <c r="L380" i="3"/>
  <c r="K380" i="3"/>
  <c r="J380" i="3"/>
  <c r="I380" i="3"/>
  <c r="H380" i="3"/>
  <c r="G380" i="3"/>
  <c r="F380" i="3"/>
  <c r="E380" i="3"/>
  <c r="D380" i="3"/>
  <c r="L378" i="3"/>
  <c r="K378" i="3"/>
  <c r="J378" i="3"/>
  <c r="I378" i="3"/>
  <c r="H378" i="3"/>
  <c r="G378" i="3"/>
  <c r="F378" i="3"/>
  <c r="E378" i="3"/>
  <c r="D378" i="3"/>
  <c r="D377" i="3"/>
  <c r="G75" i="5"/>
  <c r="G76" i="5" s="1"/>
  <c r="F75" i="5"/>
  <c r="L48" i="5" s="1"/>
  <c r="E75" i="5"/>
  <c r="E76" i="5" s="1"/>
  <c r="D75" i="5"/>
  <c r="K48" i="5" s="1"/>
  <c r="C75" i="5"/>
  <c r="C76" i="5" s="1"/>
  <c r="B75" i="5"/>
  <c r="J48" i="5" s="1"/>
  <c r="G74" i="5"/>
  <c r="G79" i="5" s="1"/>
  <c r="F74" i="5"/>
  <c r="E74" i="5"/>
  <c r="E79" i="5" s="1"/>
  <c r="D74" i="5"/>
  <c r="R44" i="5" s="1"/>
  <c r="C74" i="5"/>
  <c r="C79" i="5" s="1"/>
  <c r="B74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D483" i="3"/>
  <c r="C483" i="3"/>
  <c r="AA483" i="3" s="1"/>
  <c r="D482" i="3"/>
  <c r="C482" i="3"/>
  <c r="Q482" i="3" s="1"/>
  <c r="D481" i="3"/>
  <c r="C481" i="3"/>
  <c r="AA481" i="3" s="1"/>
  <c r="D480" i="3"/>
  <c r="C480" i="3"/>
  <c r="Q480" i="3" s="1"/>
  <c r="D479" i="3"/>
  <c r="C479" i="3"/>
  <c r="AA479" i="3" s="1"/>
  <c r="D478" i="3"/>
  <c r="C478" i="3"/>
  <c r="Q478" i="3" s="1"/>
  <c r="D477" i="3"/>
  <c r="C477" i="3"/>
  <c r="AA477" i="3" s="1"/>
  <c r="D476" i="3"/>
  <c r="C476" i="3"/>
  <c r="Q476" i="3" s="1"/>
  <c r="D475" i="3"/>
  <c r="C475" i="3"/>
  <c r="AA475" i="3" s="1"/>
  <c r="D474" i="3"/>
  <c r="C474" i="3"/>
  <c r="Q474" i="3" s="1"/>
  <c r="D473" i="3"/>
  <c r="C473" i="3"/>
  <c r="AA473" i="3" s="1"/>
  <c r="D472" i="3"/>
  <c r="C472" i="3"/>
  <c r="Q472" i="3" s="1"/>
  <c r="D471" i="3"/>
  <c r="C471" i="3"/>
  <c r="AA471" i="3" s="1"/>
  <c r="D470" i="3"/>
  <c r="C470" i="3"/>
  <c r="Q470" i="3" s="1"/>
  <c r="D469" i="3"/>
  <c r="C469" i="3"/>
  <c r="AA469" i="3" s="1"/>
  <c r="D468" i="3"/>
  <c r="C468" i="3"/>
  <c r="Q468" i="3" s="1"/>
  <c r="D467" i="3"/>
  <c r="C467" i="3"/>
  <c r="AA467" i="3" s="1"/>
  <c r="D466" i="3"/>
  <c r="C466" i="3"/>
  <c r="Q466" i="3" s="1"/>
  <c r="D465" i="3"/>
  <c r="C465" i="3"/>
  <c r="AA465" i="3" s="1"/>
  <c r="D464" i="3"/>
  <c r="C464" i="3"/>
  <c r="Q464" i="3" s="1"/>
  <c r="D463" i="3"/>
  <c r="C463" i="3"/>
  <c r="AA463" i="3" s="1"/>
  <c r="D462" i="3"/>
  <c r="C462" i="3"/>
  <c r="Q462" i="3" s="1"/>
  <c r="D461" i="3"/>
  <c r="C461" i="3"/>
  <c r="AA461" i="3" s="1"/>
  <c r="D460" i="3"/>
  <c r="C460" i="3"/>
  <c r="Q460" i="3" s="1"/>
  <c r="D459" i="3"/>
  <c r="C459" i="3"/>
  <c r="AA459" i="3" s="1"/>
  <c r="D458" i="3"/>
  <c r="C458" i="3"/>
  <c r="Q458" i="3" s="1"/>
  <c r="D457" i="3"/>
  <c r="C457" i="3"/>
  <c r="AA457" i="3" s="1"/>
  <c r="D456" i="3"/>
  <c r="C456" i="3"/>
  <c r="Q456" i="3" s="1"/>
  <c r="D455" i="3"/>
  <c r="C455" i="3"/>
  <c r="AA455" i="3" s="1"/>
  <c r="D454" i="3"/>
  <c r="C454" i="3"/>
  <c r="Q454" i="3" s="1"/>
  <c r="D453" i="3"/>
  <c r="C453" i="3"/>
  <c r="AA453" i="3" s="1"/>
  <c r="D452" i="3"/>
  <c r="C452" i="3"/>
  <c r="Q452" i="3" s="1"/>
  <c r="D451" i="3"/>
  <c r="C451" i="3"/>
  <c r="AA451" i="3" s="1"/>
  <c r="D450" i="3"/>
  <c r="C450" i="3"/>
  <c r="Q450" i="3" s="1"/>
  <c r="D449" i="3"/>
  <c r="C449" i="3"/>
  <c r="AA449" i="3" s="1"/>
  <c r="D448" i="3"/>
  <c r="C448" i="3"/>
  <c r="Q448" i="3" s="1"/>
  <c r="D447" i="3"/>
  <c r="C447" i="3"/>
  <c r="AA447" i="3" s="1"/>
  <c r="D446" i="3"/>
  <c r="C446" i="3"/>
  <c r="Q446" i="3" s="1"/>
  <c r="D445" i="3"/>
  <c r="C445" i="3"/>
  <c r="AA445" i="3" s="1"/>
  <c r="D444" i="3"/>
  <c r="C444" i="3"/>
  <c r="Q444" i="3" s="1"/>
  <c r="D443" i="3"/>
  <c r="C443" i="3"/>
  <c r="AA443" i="3" s="1"/>
  <c r="D442" i="3"/>
  <c r="C442" i="3"/>
  <c r="Q442" i="3" s="1"/>
  <c r="L440" i="3"/>
  <c r="K440" i="3"/>
  <c r="J440" i="3"/>
  <c r="I440" i="3"/>
  <c r="H440" i="3"/>
  <c r="G440" i="3"/>
  <c r="F440" i="3"/>
  <c r="E440" i="3"/>
  <c r="D440" i="3"/>
  <c r="L438" i="3"/>
  <c r="K438" i="3"/>
  <c r="J438" i="3"/>
  <c r="I438" i="3"/>
  <c r="H438" i="3"/>
  <c r="G438" i="3"/>
  <c r="F438" i="3"/>
  <c r="E438" i="3"/>
  <c r="D438" i="3"/>
  <c r="D437" i="3"/>
  <c r="AL198" i="3" l="1"/>
  <c r="AF200" i="3"/>
  <c r="AB362" i="3"/>
  <c r="Q383" i="3"/>
  <c r="AB333" i="3"/>
  <c r="AB358" i="3"/>
  <c r="AB353" i="3"/>
  <c r="AB351" i="3"/>
  <c r="AB354" i="3"/>
  <c r="AB345" i="3"/>
  <c r="AB325" i="3"/>
  <c r="Q481" i="3"/>
  <c r="AB336" i="3"/>
  <c r="AB356" i="3"/>
  <c r="AB360" i="3"/>
  <c r="AB267" i="3"/>
  <c r="Q475" i="3"/>
  <c r="Q411" i="3"/>
  <c r="AA466" i="3"/>
  <c r="Q463" i="3"/>
  <c r="AA394" i="3"/>
  <c r="AA446" i="3"/>
  <c r="U378" i="3"/>
  <c r="Q443" i="3"/>
  <c r="Q391" i="3"/>
  <c r="AB302" i="3"/>
  <c r="AB271" i="3"/>
  <c r="Q469" i="3"/>
  <c r="AA478" i="3"/>
  <c r="AA386" i="3"/>
  <c r="Q417" i="3"/>
  <c r="AB272" i="3"/>
  <c r="Q449" i="3"/>
  <c r="Q397" i="3"/>
  <c r="AA414" i="3"/>
  <c r="Q423" i="3"/>
  <c r="AB352" i="3"/>
  <c r="AB343" i="3"/>
  <c r="AB328" i="3"/>
  <c r="AB339" i="3"/>
  <c r="AB300" i="3"/>
  <c r="R382" i="3"/>
  <c r="R390" i="3"/>
  <c r="Q453" i="3"/>
  <c r="AA462" i="3"/>
  <c r="Q465" i="3"/>
  <c r="AA382" i="3"/>
  <c r="AA390" i="3"/>
  <c r="Q401" i="3"/>
  <c r="AA410" i="3"/>
  <c r="Q413" i="3"/>
  <c r="Q447" i="3"/>
  <c r="AA450" i="3"/>
  <c r="Q459" i="3"/>
  <c r="Q479" i="3"/>
  <c r="AA482" i="3"/>
  <c r="R380" i="3"/>
  <c r="V380" i="3"/>
  <c r="Z380" i="3"/>
  <c r="R386" i="3"/>
  <c r="Q387" i="3"/>
  <c r="Q395" i="3"/>
  <c r="AA398" i="3"/>
  <c r="Q407" i="3"/>
  <c r="AB322" i="3"/>
  <c r="AB331" i="3"/>
  <c r="AB262" i="3"/>
  <c r="Y438" i="3"/>
  <c r="AA442" i="3"/>
  <c r="Q445" i="3"/>
  <c r="Q455" i="3"/>
  <c r="AA458" i="3"/>
  <c r="Q461" i="3"/>
  <c r="Q471" i="3"/>
  <c r="AA474" i="3"/>
  <c r="Q477" i="3"/>
  <c r="R384" i="3"/>
  <c r="Q385" i="3"/>
  <c r="R388" i="3"/>
  <c r="Q389" i="3"/>
  <c r="R392" i="3"/>
  <c r="Q393" i="3"/>
  <c r="Q403" i="3"/>
  <c r="AA406" i="3"/>
  <c r="Q409" i="3"/>
  <c r="Q419" i="3"/>
  <c r="AA422" i="3"/>
  <c r="AB324" i="3"/>
  <c r="AB337" i="3"/>
  <c r="AB323" i="3"/>
  <c r="AB326" i="3"/>
  <c r="AB335" i="3"/>
  <c r="AB330" i="3"/>
  <c r="AB349" i="3"/>
  <c r="AB327" i="3"/>
  <c r="AB363" i="3"/>
  <c r="AB348" i="3"/>
  <c r="AB299" i="3"/>
  <c r="AB275" i="3"/>
  <c r="AB274" i="3"/>
  <c r="AB291" i="3"/>
  <c r="AB278" i="3"/>
  <c r="U438" i="3"/>
  <c r="Q451" i="3"/>
  <c r="AA454" i="3"/>
  <c r="Q457" i="3"/>
  <c r="Q467" i="3"/>
  <c r="AA470" i="3"/>
  <c r="Q473" i="3"/>
  <c r="Q483" i="3"/>
  <c r="AA384" i="3"/>
  <c r="AA388" i="3"/>
  <c r="AA392" i="3"/>
  <c r="Q399" i="3"/>
  <c r="AA402" i="3"/>
  <c r="Q405" i="3"/>
  <c r="Q415" i="3"/>
  <c r="AA418" i="3"/>
  <c r="Q421" i="3"/>
  <c r="AB361" i="3"/>
  <c r="AB329" i="3"/>
  <c r="AB342" i="3"/>
  <c r="AB359" i="3"/>
  <c r="AB340" i="3"/>
  <c r="AB346" i="3"/>
  <c r="AB341" i="3"/>
  <c r="AB334" i="3"/>
  <c r="AB347" i="3"/>
  <c r="AB280" i="3"/>
  <c r="AB289" i="3"/>
  <c r="AB297" i="3"/>
  <c r="AB276" i="3"/>
  <c r="AB273" i="3"/>
  <c r="R5" i="5"/>
  <c r="R20" i="5"/>
  <c r="R32" i="5"/>
  <c r="T66" i="5"/>
  <c r="T68" i="5"/>
  <c r="T70" i="5"/>
  <c r="T72" i="5"/>
  <c r="S65" i="5"/>
  <c r="S67" i="5"/>
  <c r="S69" i="5"/>
  <c r="S71" i="5"/>
  <c r="S73" i="5"/>
  <c r="T65" i="5"/>
  <c r="T67" i="5"/>
  <c r="T69" i="5"/>
  <c r="T71" i="5"/>
  <c r="T73" i="5"/>
  <c r="S66" i="5"/>
  <c r="S68" i="5"/>
  <c r="S70" i="5"/>
  <c r="S72" i="5"/>
  <c r="R41" i="5"/>
  <c r="D79" i="5"/>
  <c r="K51" i="5" s="1"/>
  <c r="K47" i="5"/>
  <c r="F79" i="5"/>
  <c r="L51" i="5" s="1"/>
  <c r="S6" i="5"/>
  <c r="S10" i="5"/>
  <c r="S14" i="5"/>
  <c r="S18" i="5"/>
  <c r="S22" i="5"/>
  <c r="S26" i="5"/>
  <c r="S30" i="5"/>
  <c r="S34" i="5"/>
  <c r="S38" i="5"/>
  <c r="S42" i="5"/>
  <c r="S46" i="5"/>
  <c r="S9" i="5"/>
  <c r="S13" i="5"/>
  <c r="S17" i="5"/>
  <c r="S21" i="5"/>
  <c r="S25" i="5"/>
  <c r="S29" i="5"/>
  <c r="S33" i="5"/>
  <c r="S37" i="5"/>
  <c r="S41" i="5"/>
  <c r="S45" i="5"/>
  <c r="S7" i="5"/>
  <c r="S11" i="5"/>
  <c r="S15" i="5"/>
  <c r="S19" i="5"/>
  <c r="S23" i="5"/>
  <c r="S27" i="5"/>
  <c r="S31" i="5"/>
  <c r="S35" i="5"/>
  <c r="S39" i="5"/>
  <c r="S43" i="5"/>
  <c r="S5" i="5"/>
  <c r="S8" i="5"/>
  <c r="S12" i="5"/>
  <c r="S16" i="5"/>
  <c r="S20" i="5"/>
  <c r="S24" i="5"/>
  <c r="S28" i="5"/>
  <c r="S32" i="5"/>
  <c r="S36" i="5"/>
  <c r="S40" i="5"/>
  <c r="S44" i="5"/>
  <c r="L47" i="5"/>
  <c r="Q36" i="5"/>
  <c r="O65" i="5"/>
  <c r="J47" i="5"/>
  <c r="Q13" i="5"/>
  <c r="Q26" i="5"/>
  <c r="Q5" i="5"/>
  <c r="R11" i="5"/>
  <c r="R24" i="5"/>
  <c r="R33" i="5"/>
  <c r="Q46" i="5"/>
  <c r="O73" i="5"/>
  <c r="O69" i="5"/>
  <c r="P73" i="5"/>
  <c r="P69" i="5"/>
  <c r="P65" i="5"/>
  <c r="Q73" i="5"/>
  <c r="Q69" i="5"/>
  <c r="R73" i="5"/>
  <c r="R69" i="5"/>
  <c r="R65" i="5"/>
  <c r="O72" i="5"/>
  <c r="O68" i="5"/>
  <c r="P72" i="5"/>
  <c r="P68" i="5"/>
  <c r="Q72" i="5"/>
  <c r="Q68" i="5"/>
  <c r="R72" i="5"/>
  <c r="R68" i="5"/>
  <c r="O71" i="5"/>
  <c r="O67" i="5"/>
  <c r="P71" i="5"/>
  <c r="P67" i="5"/>
  <c r="Q71" i="5"/>
  <c r="Q67" i="5"/>
  <c r="R71" i="5"/>
  <c r="R67" i="5"/>
  <c r="O70" i="5"/>
  <c r="O66" i="5"/>
  <c r="P70" i="5"/>
  <c r="P66" i="5"/>
  <c r="Q65" i="5"/>
  <c r="Q70" i="5"/>
  <c r="Q66" i="5"/>
  <c r="R70" i="5"/>
  <c r="R66" i="5"/>
  <c r="AF261" i="3"/>
  <c r="AF260" i="3"/>
  <c r="AL258" i="3"/>
  <c r="AB268" i="3"/>
  <c r="AB284" i="3"/>
  <c r="AB277" i="3"/>
  <c r="AB270" i="3"/>
  <c r="AB286" i="3"/>
  <c r="AB279" i="3"/>
  <c r="AB282" i="3"/>
  <c r="AB269" i="3"/>
  <c r="AB303" i="3"/>
  <c r="AB292" i="3"/>
  <c r="AB285" i="3"/>
  <c r="AB301" i="3"/>
  <c r="AB296" i="3"/>
  <c r="AB287" i="3"/>
  <c r="AB264" i="3"/>
  <c r="AB288" i="3"/>
  <c r="AB281" i="3"/>
  <c r="AB266" i="3"/>
  <c r="AB290" i="3"/>
  <c r="AB283" i="3"/>
  <c r="AB295" i="3"/>
  <c r="AB263" i="3"/>
  <c r="AB294" i="3"/>
  <c r="AB293" i="3"/>
  <c r="AB265" i="3"/>
  <c r="AF321" i="3"/>
  <c r="AF320" i="3"/>
  <c r="AL318" i="3"/>
  <c r="AB357" i="3"/>
  <c r="AB344" i="3"/>
  <c r="AB350" i="3"/>
  <c r="AB355" i="3"/>
  <c r="AB332" i="3"/>
  <c r="R10" i="5"/>
  <c r="R19" i="5"/>
  <c r="R28" i="5"/>
  <c r="R40" i="5"/>
  <c r="R16" i="5"/>
  <c r="R36" i="5"/>
  <c r="R9" i="5"/>
  <c r="R13" i="5"/>
  <c r="R18" i="5"/>
  <c r="R21" i="5"/>
  <c r="R27" i="5"/>
  <c r="R35" i="5"/>
  <c r="R43" i="5"/>
  <c r="R8" i="5"/>
  <c r="R12" i="5"/>
  <c r="R17" i="5"/>
  <c r="R25" i="5"/>
  <c r="R26" i="5"/>
  <c r="R29" i="5"/>
  <c r="R34" i="5"/>
  <c r="R37" i="5"/>
  <c r="R42" i="5"/>
  <c r="R45" i="5"/>
  <c r="R423" i="3"/>
  <c r="R421" i="3"/>
  <c r="R419" i="3"/>
  <c r="R417" i="3"/>
  <c r="R415" i="3"/>
  <c r="R413" i="3"/>
  <c r="R411" i="3"/>
  <c r="R409" i="3"/>
  <c r="R407" i="3"/>
  <c r="R405" i="3"/>
  <c r="R403" i="3"/>
  <c r="R401" i="3"/>
  <c r="R399" i="3"/>
  <c r="R397" i="3"/>
  <c r="R395" i="3"/>
  <c r="R393" i="3"/>
  <c r="X378" i="3"/>
  <c r="Y380" i="3"/>
  <c r="R396" i="3"/>
  <c r="R400" i="3"/>
  <c r="R404" i="3"/>
  <c r="R408" i="3"/>
  <c r="R412" i="3"/>
  <c r="R416" i="3"/>
  <c r="R420" i="3"/>
  <c r="R378" i="3"/>
  <c r="V378" i="3"/>
  <c r="Y378" i="3"/>
  <c r="S380" i="3"/>
  <c r="W380" i="3"/>
  <c r="R383" i="3"/>
  <c r="R385" i="3"/>
  <c r="R387" i="3"/>
  <c r="R389" i="3"/>
  <c r="R391" i="3"/>
  <c r="AA396" i="3"/>
  <c r="AA400" i="3"/>
  <c r="AA404" i="3"/>
  <c r="AA408" i="3"/>
  <c r="AA412" i="3"/>
  <c r="AA416" i="3"/>
  <c r="AA420" i="3"/>
  <c r="Z378" i="3"/>
  <c r="S378" i="3"/>
  <c r="W378" i="3"/>
  <c r="T378" i="3"/>
  <c r="T380" i="3"/>
  <c r="X380" i="3"/>
  <c r="U380" i="3"/>
  <c r="R394" i="3"/>
  <c r="R398" i="3"/>
  <c r="R402" i="3"/>
  <c r="R406" i="3"/>
  <c r="R410" i="3"/>
  <c r="R414" i="3"/>
  <c r="R418" i="3"/>
  <c r="R422" i="3"/>
  <c r="Q10" i="5"/>
  <c r="Q11" i="5"/>
  <c r="Q12" i="5"/>
  <c r="Q18" i="5"/>
  <c r="Q19" i="5"/>
  <c r="Q20" i="5"/>
  <c r="Q29" i="5"/>
  <c r="Q45" i="5"/>
  <c r="R46" i="5"/>
  <c r="Q34" i="5"/>
  <c r="Q35" i="5"/>
  <c r="F80" i="5"/>
  <c r="L52" i="5" s="1"/>
  <c r="B79" i="5"/>
  <c r="J51" i="5" s="1"/>
  <c r="Q41" i="5"/>
  <c r="Q40" i="5"/>
  <c r="Q33" i="5"/>
  <c r="Q32" i="5"/>
  <c r="Q25" i="5"/>
  <c r="Q24" i="5"/>
  <c r="Q17" i="5"/>
  <c r="Q16" i="5"/>
  <c r="Q9" i="5"/>
  <c r="Q8" i="5"/>
  <c r="Q39" i="5"/>
  <c r="Q38" i="5"/>
  <c r="Q31" i="5"/>
  <c r="Q30" i="5"/>
  <c r="Q23" i="5"/>
  <c r="Q22" i="5"/>
  <c r="Q15" i="5"/>
  <c r="Q14" i="5"/>
  <c r="Q7" i="5"/>
  <c r="Q6" i="5"/>
  <c r="B80" i="5"/>
  <c r="J52" i="5" s="1"/>
  <c r="Q27" i="5"/>
  <c r="Q28" i="5"/>
  <c r="Q42" i="5"/>
  <c r="Q43" i="5"/>
  <c r="Q44" i="5"/>
  <c r="Q21" i="5"/>
  <c r="Q37" i="5"/>
  <c r="D80" i="5"/>
  <c r="K52" i="5" s="1"/>
  <c r="R6" i="5"/>
  <c r="R7" i="5"/>
  <c r="R14" i="5"/>
  <c r="R15" i="5"/>
  <c r="R22" i="5"/>
  <c r="R23" i="5"/>
  <c r="R30" i="5"/>
  <c r="R31" i="5"/>
  <c r="R38" i="5"/>
  <c r="R39" i="5"/>
  <c r="D76" i="5"/>
  <c r="D78" i="5" s="1"/>
  <c r="K50" i="5" s="1"/>
  <c r="F76" i="5"/>
  <c r="F78" i="5" s="1"/>
  <c r="L50" i="5" s="1"/>
  <c r="E77" i="5"/>
  <c r="G77" i="5"/>
  <c r="E78" i="5"/>
  <c r="G78" i="5"/>
  <c r="B76" i="5"/>
  <c r="B78" i="5" s="1"/>
  <c r="J50" i="5" s="1"/>
  <c r="C77" i="5"/>
  <c r="C78" i="5"/>
  <c r="R457" i="3"/>
  <c r="R455" i="3"/>
  <c r="R449" i="3"/>
  <c r="R447" i="3"/>
  <c r="R443" i="3"/>
  <c r="R483" i="3"/>
  <c r="R481" i="3"/>
  <c r="R479" i="3"/>
  <c r="R477" i="3"/>
  <c r="R475" i="3"/>
  <c r="R473" i="3"/>
  <c r="R471" i="3"/>
  <c r="R469" i="3"/>
  <c r="R467" i="3"/>
  <c r="R465" i="3"/>
  <c r="R463" i="3"/>
  <c r="R461" i="3"/>
  <c r="R459" i="3"/>
  <c r="R453" i="3"/>
  <c r="R451" i="3"/>
  <c r="R445" i="3"/>
  <c r="X438" i="3"/>
  <c r="W440" i="3"/>
  <c r="V438" i="3"/>
  <c r="Z438" i="3"/>
  <c r="T440" i="3"/>
  <c r="X440" i="3"/>
  <c r="Y440" i="3"/>
  <c r="R444" i="3"/>
  <c r="R448" i="3"/>
  <c r="R452" i="3"/>
  <c r="R456" i="3"/>
  <c r="R460" i="3"/>
  <c r="R464" i="3"/>
  <c r="R468" i="3"/>
  <c r="R472" i="3"/>
  <c r="R476" i="3"/>
  <c r="R480" i="3"/>
  <c r="S440" i="3"/>
  <c r="U440" i="3"/>
  <c r="R438" i="3"/>
  <c r="S438" i="3"/>
  <c r="W438" i="3"/>
  <c r="T438" i="3"/>
  <c r="AA444" i="3"/>
  <c r="AA448" i="3"/>
  <c r="AA452" i="3"/>
  <c r="AA456" i="3"/>
  <c r="AA460" i="3"/>
  <c r="AA464" i="3"/>
  <c r="AA468" i="3"/>
  <c r="AA472" i="3"/>
  <c r="AA476" i="3"/>
  <c r="AA480" i="3"/>
  <c r="R440" i="3"/>
  <c r="V440" i="3"/>
  <c r="Z440" i="3"/>
  <c r="R442" i="3"/>
  <c r="R446" i="3"/>
  <c r="R450" i="3"/>
  <c r="R454" i="3"/>
  <c r="R458" i="3"/>
  <c r="R462" i="3"/>
  <c r="R466" i="3"/>
  <c r="R470" i="3"/>
  <c r="R474" i="3"/>
  <c r="R478" i="3"/>
  <c r="R482" i="3"/>
  <c r="V28" i="5" l="1"/>
  <c r="W28" i="5"/>
  <c r="W31" i="5"/>
  <c r="V31" i="5"/>
  <c r="V20" i="5"/>
  <c r="W20" i="5"/>
  <c r="V43" i="5"/>
  <c r="W43" i="5"/>
  <c r="V23" i="5"/>
  <c r="W23" i="5"/>
  <c r="W25" i="5"/>
  <c r="V25" i="5"/>
  <c r="W45" i="5"/>
  <c r="V45" i="5"/>
  <c r="W38" i="5"/>
  <c r="V38" i="5"/>
  <c r="V42" i="5"/>
  <c r="W42" i="5"/>
  <c r="W30" i="5"/>
  <c r="V30" i="5"/>
  <c r="W32" i="5"/>
  <c r="V32" i="5"/>
  <c r="W29" i="5"/>
  <c r="V29" i="5"/>
  <c r="W19" i="5"/>
  <c r="V19" i="5"/>
  <c r="V5" i="5"/>
  <c r="W5" i="5"/>
  <c r="W18" i="5"/>
  <c r="V18" i="5"/>
  <c r="W26" i="5"/>
  <c r="V26" i="5"/>
  <c r="W6" i="5"/>
  <c r="V6" i="5"/>
  <c r="V8" i="5"/>
  <c r="W8" i="5"/>
  <c r="V12" i="5"/>
  <c r="W12" i="5"/>
  <c r="V13" i="5"/>
  <c r="W13" i="5"/>
  <c r="W27" i="5"/>
  <c r="V27" i="5"/>
  <c r="W41" i="5"/>
  <c r="V41" i="5"/>
  <c r="V33" i="5"/>
  <c r="W33" i="5"/>
  <c r="W37" i="5"/>
  <c r="V37" i="5"/>
  <c r="W14" i="5"/>
  <c r="V14" i="5"/>
  <c r="W16" i="5"/>
  <c r="V16" i="5"/>
  <c r="W35" i="5"/>
  <c r="V35" i="5"/>
  <c r="W10" i="5"/>
  <c r="V10" i="5"/>
  <c r="W39" i="5"/>
  <c r="V39" i="5"/>
  <c r="V7" i="5"/>
  <c r="W7" i="5"/>
  <c r="V9" i="5"/>
  <c r="W9" i="5"/>
  <c r="V11" i="5"/>
  <c r="W11" i="5"/>
  <c r="W15" i="5"/>
  <c r="V15" i="5"/>
  <c r="W17" i="5"/>
  <c r="V17" i="5"/>
  <c r="W34" i="5"/>
  <c r="V34" i="5"/>
  <c r="W36" i="5"/>
  <c r="V36" i="5"/>
  <c r="V40" i="5"/>
  <c r="W40" i="5"/>
  <c r="W21" i="5"/>
  <c r="V21" i="5"/>
  <c r="W44" i="5"/>
  <c r="V44" i="5"/>
  <c r="W22" i="5"/>
  <c r="V22" i="5"/>
  <c r="W24" i="5"/>
  <c r="V24" i="5"/>
  <c r="W46" i="5"/>
  <c r="V46" i="5"/>
  <c r="AI378" i="3"/>
  <c r="AI379" i="3"/>
  <c r="D77" i="5"/>
  <c r="K49" i="5" s="1"/>
  <c r="R75" i="5"/>
  <c r="T74" i="5"/>
  <c r="T75" i="5"/>
  <c r="S75" i="5"/>
  <c r="S74" i="5"/>
  <c r="R74" i="5"/>
  <c r="Q74" i="5"/>
  <c r="Q75" i="5"/>
  <c r="O75" i="5"/>
  <c r="P74" i="5"/>
  <c r="P75" i="5"/>
  <c r="O74" i="5"/>
  <c r="F77" i="5"/>
  <c r="L49" i="5" s="1"/>
  <c r="AF378" i="3"/>
  <c r="AB385" i="3" s="1"/>
  <c r="AF379" i="3"/>
  <c r="B77" i="5"/>
  <c r="J49" i="5" s="1"/>
  <c r="AI439" i="3"/>
  <c r="AI438" i="3"/>
  <c r="AF438" i="3"/>
  <c r="AB453" i="3" s="1"/>
  <c r="AF439" i="3"/>
  <c r="AB444" i="3" l="1"/>
  <c r="AB477" i="3"/>
  <c r="AB401" i="3"/>
  <c r="AB415" i="3"/>
  <c r="AB391" i="3"/>
  <c r="AB405" i="3"/>
  <c r="AB389" i="3"/>
  <c r="AB387" i="3"/>
  <c r="AB407" i="3"/>
  <c r="AB398" i="3"/>
  <c r="AB397" i="3"/>
  <c r="AB419" i="3"/>
  <c r="AB418" i="3"/>
  <c r="AB420" i="3"/>
  <c r="AB416" i="3"/>
  <c r="AB396" i="3"/>
  <c r="R77" i="5"/>
  <c r="R76" i="5"/>
  <c r="S76" i="5"/>
  <c r="S77" i="5"/>
  <c r="T76" i="5"/>
  <c r="T77" i="5"/>
  <c r="Q76" i="5"/>
  <c r="Q77" i="5"/>
  <c r="O76" i="5"/>
  <c r="O77" i="5"/>
  <c r="P77" i="5"/>
  <c r="P76" i="5"/>
  <c r="AB399" i="3"/>
  <c r="AB406" i="3"/>
  <c r="AB409" i="3"/>
  <c r="AB421" i="3"/>
  <c r="AB408" i="3"/>
  <c r="AB394" i="3"/>
  <c r="AB411" i="3"/>
  <c r="AB412" i="3"/>
  <c r="AB400" i="3"/>
  <c r="AB423" i="3"/>
  <c r="AB404" i="3"/>
  <c r="AB422" i="3"/>
  <c r="AB393" i="3"/>
  <c r="AB413" i="3"/>
  <c r="AF381" i="3"/>
  <c r="AF380" i="3"/>
  <c r="AL378" i="3"/>
  <c r="AB410" i="3"/>
  <c r="AB403" i="3"/>
  <c r="AB383" i="3"/>
  <c r="AB388" i="3"/>
  <c r="AB384" i="3"/>
  <c r="AB390" i="3"/>
  <c r="AB382" i="3"/>
  <c r="AB392" i="3"/>
  <c r="AB386" i="3"/>
  <c r="AB417" i="3"/>
  <c r="AB395" i="3"/>
  <c r="AB414" i="3"/>
  <c r="AB402" i="3"/>
  <c r="AB483" i="3"/>
  <c r="AB448" i="3"/>
  <c r="AB465" i="3"/>
  <c r="AB447" i="3"/>
  <c r="AB466" i="3"/>
  <c r="AB463" i="3"/>
  <c r="AB449" i="3"/>
  <c r="AB469" i="3"/>
  <c r="AB460" i="3"/>
  <c r="AB454" i="3"/>
  <c r="AB475" i="3"/>
  <c r="AB480" i="3"/>
  <c r="AB468" i="3"/>
  <c r="AB471" i="3"/>
  <c r="AB464" i="3"/>
  <c r="AB472" i="3"/>
  <c r="AB481" i="3"/>
  <c r="AB457" i="3"/>
  <c r="AB461" i="3"/>
  <c r="AB476" i="3"/>
  <c r="AB470" i="3"/>
  <c r="AB467" i="3"/>
  <c r="AB442" i="3"/>
  <c r="AB446" i="3"/>
  <c r="AB451" i="3"/>
  <c r="AB474" i="3"/>
  <c r="AB462" i="3"/>
  <c r="AB450" i="3"/>
  <c r="AB473" i="3"/>
  <c r="AB443" i="3"/>
  <c r="AB445" i="3"/>
  <c r="AF441" i="3"/>
  <c r="AL438" i="3"/>
  <c r="AF440" i="3"/>
  <c r="AB455" i="3"/>
  <c r="AB459" i="3"/>
  <c r="AB458" i="3"/>
  <c r="AB478" i="3"/>
  <c r="AB456" i="3"/>
  <c r="AB452" i="3"/>
  <c r="AB479" i="3"/>
  <c r="AB482" i="3"/>
</calcChain>
</file>

<file path=xl/sharedStrings.xml><?xml version="1.0" encoding="utf-8"?>
<sst xmlns="http://schemas.openxmlformats.org/spreadsheetml/2006/main" count="1160" uniqueCount="142">
  <si>
    <t>A</t>
  </si>
  <si>
    <t>B</t>
  </si>
  <si>
    <t>No CPA cntr</t>
  </si>
  <si>
    <t>C</t>
  </si>
  <si>
    <t>5M PD cntr</t>
  </si>
  <si>
    <t>D</t>
  </si>
  <si>
    <t>E</t>
  </si>
  <si>
    <t>F</t>
  </si>
  <si>
    <t>G</t>
  </si>
  <si>
    <t>H</t>
  </si>
  <si>
    <t>Software Version</t>
  </si>
  <si>
    <t>3.12.08</t>
  </si>
  <si>
    <t>Experiment File Path:</t>
  </si>
  <si>
    <t>Protocol File Path:</t>
  </si>
  <si>
    <t>C:\Users\Public\Documents\Protocols\MTT Corrected.prt</t>
  </si>
  <si>
    <t>Plate Number</t>
  </si>
  <si>
    <t>Plate 1</t>
  </si>
  <si>
    <t>Date</t>
  </si>
  <si>
    <t>Time</t>
  </si>
  <si>
    <t>Reader Type:</t>
  </si>
  <si>
    <t>Synergy HTX</t>
  </si>
  <si>
    <t>Reader Serial Number:</t>
  </si>
  <si>
    <t>2207142D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</si>
  <si>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</si>
  <si>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</si>
  <si>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</si>
  <si>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</si>
  <si>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</si>
  <si>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</si>
  <si>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</si>
  <si>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</si>
  <si>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</si>
  <si>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570</t>
  </si>
  <si>
    <t>Pathlength Correction: 977 / 900</t>
  </si>
  <si>
    <t xml:space="preserve">    Absorbance at 1 cm: 0.18</t>
  </si>
  <si>
    <t>Read Speed: Normal,  Delay: 100 msec,  Measurements/Data Point: 8</t>
  </si>
  <si>
    <t>Results</t>
  </si>
  <si>
    <t>Actual Temperature:</t>
  </si>
  <si>
    <t>977 [Test]</t>
  </si>
  <si>
    <t>900 [Ref]</t>
  </si>
  <si>
    <t>Pathlength</t>
  </si>
  <si>
    <t>Corrected [570]</t>
  </si>
  <si>
    <t>RAW</t>
  </si>
  <si>
    <t>Adjusted</t>
  </si>
  <si>
    <t>Background AV</t>
  </si>
  <si>
    <t>Signal window</t>
  </si>
  <si>
    <t>(-) control</t>
  </si>
  <si>
    <t>Media cntr</t>
  </si>
  <si>
    <t>Average</t>
  </si>
  <si>
    <t>Z-factor</t>
  </si>
  <si>
    <t>SD</t>
  </si>
  <si>
    <t>20% AV</t>
  </si>
  <si>
    <t>3x SD</t>
  </si>
  <si>
    <t>SD % of ASV</t>
  </si>
  <si>
    <t>3xSD</t>
  </si>
  <si>
    <t>CPA cocktail composition (final molarity)</t>
  </si>
  <si>
    <t>CPA</t>
  </si>
  <si>
    <t>DMSO</t>
  </si>
  <si>
    <t>EG</t>
  </si>
  <si>
    <t>12PD</t>
  </si>
  <si>
    <t>13PD</t>
  </si>
  <si>
    <t>3M12PD</t>
  </si>
  <si>
    <t>Urea</t>
  </si>
  <si>
    <t>Total molarity</t>
  </si>
  <si>
    <t>CPA molarity</t>
  </si>
  <si>
    <t>Signal window = AV- 20% AV</t>
  </si>
  <si>
    <t>Background Adjusted OD</t>
  </si>
  <si>
    <t>Plate 2</t>
  </si>
  <si>
    <t>Plate 3</t>
  </si>
  <si>
    <t>Plate 4</t>
  </si>
  <si>
    <t>Viability (%)- greater than 80% is highlighted</t>
  </si>
  <si>
    <t>Viability</t>
  </si>
  <si>
    <t>AV control</t>
  </si>
  <si>
    <t>SD control</t>
  </si>
  <si>
    <t>AV + 3xSD</t>
  </si>
  <si>
    <t>AV - 3xSD</t>
  </si>
  <si>
    <t>Z-score</t>
  </si>
  <si>
    <t>CPA source plate made</t>
  </si>
  <si>
    <t>SIGNAL WINDOW SETTINGS</t>
  </si>
  <si>
    <t># of SD</t>
  </si>
  <si>
    <t>% of AV</t>
  </si>
  <si>
    <t>Controls Adjusted</t>
  </si>
  <si>
    <t>Controls</t>
  </si>
  <si>
    <t>Normalized</t>
  </si>
  <si>
    <t>Stdev</t>
  </si>
  <si>
    <t>Predicted % Viability</t>
  </si>
  <si>
    <t>CMU 47-88</t>
  </si>
  <si>
    <t>3.27.24</t>
  </si>
  <si>
    <t>CMU 47</t>
  </si>
  <si>
    <t>CMU 48</t>
  </si>
  <si>
    <t>CMU 49</t>
  </si>
  <si>
    <t>CMU 50</t>
  </si>
  <si>
    <t>CMU 51</t>
  </si>
  <si>
    <t>CMU 52</t>
  </si>
  <si>
    <t>CMU 53</t>
  </si>
  <si>
    <t>CMU 54</t>
  </si>
  <si>
    <t>CMU 55</t>
  </si>
  <si>
    <t>CMU 56</t>
  </si>
  <si>
    <t>CMU 57</t>
  </si>
  <si>
    <t>CMU 58</t>
  </si>
  <si>
    <t>CMU 59</t>
  </si>
  <si>
    <t>CMU 60</t>
  </si>
  <si>
    <t>CMU 61</t>
  </si>
  <si>
    <t>CMU 62</t>
  </si>
  <si>
    <t>CMU 63</t>
  </si>
  <si>
    <t>CMU 64</t>
  </si>
  <si>
    <t>CMU 65</t>
  </si>
  <si>
    <t>CMU 66</t>
  </si>
  <si>
    <t>CMU 67</t>
  </si>
  <si>
    <t>CMU 68</t>
  </si>
  <si>
    <t>CMU 69</t>
  </si>
  <si>
    <t>CMU 70</t>
  </si>
  <si>
    <t>CMU 71</t>
  </si>
  <si>
    <t>CMU 72</t>
  </si>
  <si>
    <t>CMU 73</t>
  </si>
  <si>
    <t>CMU 74</t>
  </si>
  <si>
    <t>CMU 75</t>
  </si>
  <si>
    <t>CMU 76</t>
  </si>
  <si>
    <t>CMU 77</t>
  </si>
  <si>
    <t>CMU 78</t>
  </si>
  <si>
    <t>CMU 79</t>
  </si>
  <si>
    <t>CMU 80</t>
  </si>
  <si>
    <t>CMU 81</t>
  </si>
  <si>
    <t>CMU 82</t>
  </si>
  <si>
    <t>CMU 83</t>
  </si>
  <si>
    <t>CMU 84</t>
  </si>
  <si>
    <t>CMU 85</t>
  </si>
  <si>
    <t>CMU 86</t>
  </si>
  <si>
    <t>CMU 87</t>
  </si>
  <si>
    <t>CMU 88</t>
  </si>
  <si>
    <t>Glycerol</t>
  </si>
  <si>
    <t>Fresh: By Hand</t>
  </si>
  <si>
    <t>Plate 1.1</t>
  </si>
  <si>
    <t>Plate 1.2</t>
  </si>
  <si>
    <t>Plate 3.1</t>
  </si>
  <si>
    <t>4.3.24</t>
  </si>
  <si>
    <t>Plate 3.2</t>
  </si>
  <si>
    <t>Plate 3.3</t>
  </si>
  <si>
    <t>4.2.24</t>
  </si>
  <si>
    <t>Plate 1.1 Full</t>
  </si>
  <si>
    <t xml:space="preserve">Viability average </t>
  </si>
  <si>
    <t>Delta (absolute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</si>
</sst>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b/>
      <sz val="10"/>
      <name val="Arial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0" fillId="2" borderId="0" xfId="0" applyFill="1"/>
    <xf numFmtId="0" fontId="4" fillId="4" borderId="0" xfId="0" applyFont="1" applyFill="1"/>
    <xf numFmtId="0" fontId="5" fillId="5" borderId="0" xfId="0" applyFont="1" applyFill="1"/>
    <xf numFmtId="14" fontId="0" fillId="0" borderId="0" xfId="0" applyNumberFormat="1"/>
    <xf numFmtId="19" fontId="0" fillId="0" borderId="0" xfId="0" applyNumberForma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6" borderId="1" xfId="0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14" fontId="0" fillId="5" borderId="0" xfId="0" applyNumberFormat="1" applyFill="1"/>
    <xf numFmtId="0" fontId="5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/>
    <xf numFmtId="0" fontId="7" fillId="9" borderId="5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20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0" fillId="0" borderId="0" xfId="0" applyFont="1"/>
    <xf numFmtId="0" fontId="0" fillId="21" borderId="0" xfId="0" applyFill="1"/>
    <xf numFmtId="0" fontId="5" fillId="0" borderId="0" xfId="0" applyFont="1"/>
    <xf numFmtId="0" fontId="10" fillId="22" borderId="0" xfId="0" applyFont="1" applyFill="1"/>
    <xf numFmtId="0" fontId="10" fillId="23" borderId="0" xfId="0" applyFont="1" applyFill="1"/>
    <xf numFmtId="0" fontId="4" fillId="24" borderId="1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9" borderId="5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0" fontId="0" fillId="33" borderId="5" xfId="0" applyFill="1" applyBorder="1" applyAlignment="1">
      <alignment horizontal="center" vertical="center"/>
    </xf>
    <xf numFmtId="0" fontId="0" fillId="34" borderId="5" xfId="0" applyFill="1" applyBorder="1" applyAlignment="1">
      <alignment horizontal="center" vertical="center"/>
    </xf>
    <xf numFmtId="0" fontId="5" fillId="33" borderId="5" xfId="0" applyFont="1" applyFill="1" applyBorder="1" applyAlignment="1">
      <alignment horizontal="center" vertical="center"/>
    </xf>
    <xf numFmtId="0" fontId="5" fillId="3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24" borderId="13" xfId="0" applyFill="1" applyBorder="1" applyAlignment="1">
      <alignment horizontal="center" vertical="center" wrapText="1"/>
    </xf>
    <xf numFmtId="0" fontId="0" fillId="24" borderId="5" xfId="0" applyFill="1" applyBorder="1" applyAlignment="1">
      <alignment horizontal="center" vertical="center" wrapText="1"/>
    </xf>
    <xf numFmtId="0" fontId="0" fillId="24" borderId="14" xfId="0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24" borderId="16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24" borderId="19" xfId="0" applyFill="1" applyBorder="1" applyAlignment="1">
      <alignment horizontal="center" vertical="center" wrapText="1"/>
    </xf>
    <xf numFmtId="0" fontId="11" fillId="25" borderId="5" xfId="0" applyFont="1" applyFill="1" applyBorder="1" applyAlignment="1">
      <alignment horizontal="center" vertical="center"/>
    </xf>
    <xf numFmtId="0" fontId="11" fillId="25" borderId="20" xfId="0" applyFont="1" applyFill="1" applyBorder="1" applyAlignment="1">
      <alignment horizontal="center" vertical="center"/>
    </xf>
    <xf numFmtId="0" fontId="11" fillId="25" borderId="19" xfId="0" applyFont="1" applyFill="1" applyBorder="1" applyAlignment="1">
      <alignment horizontal="center" vertical="center"/>
    </xf>
    <xf numFmtId="0" fontId="12" fillId="26" borderId="5" xfId="0" applyFont="1" applyFill="1" applyBorder="1" applyAlignment="1">
      <alignment horizontal="center" vertical="center"/>
    </xf>
    <xf numFmtId="0" fontId="11" fillId="25" borderId="21" xfId="0" applyFont="1" applyFill="1" applyBorder="1" applyAlignment="1">
      <alignment horizontal="center" vertical="center"/>
    </xf>
    <xf numFmtId="0" fontId="11" fillId="25" borderId="22" xfId="0" applyFont="1" applyFill="1" applyBorder="1" applyAlignment="1">
      <alignment horizontal="center" vertical="center"/>
    </xf>
    <xf numFmtId="0" fontId="11" fillId="25" borderId="18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1" fillId="27" borderId="21" xfId="0" applyFont="1" applyFill="1" applyBorder="1" applyAlignment="1">
      <alignment horizontal="center" vertical="center"/>
    </xf>
    <xf numFmtId="0" fontId="11" fillId="27" borderId="22" xfId="0" applyFont="1" applyFill="1" applyBorder="1" applyAlignment="1">
      <alignment horizontal="center" vertical="center"/>
    </xf>
    <xf numFmtId="0" fontId="11" fillId="27" borderId="18" xfId="0" applyFont="1" applyFill="1" applyBorder="1" applyAlignment="1">
      <alignment horizontal="center" vertical="center"/>
    </xf>
    <xf numFmtId="0" fontId="2" fillId="28" borderId="5" xfId="0" applyFont="1" applyFill="1" applyBorder="1" applyAlignment="1">
      <alignment horizontal="center" vertical="center"/>
    </xf>
    <xf numFmtId="0" fontId="11" fillId="29" borderId="21" xfId="0" applyFont="1" applyFill="1" applyBorder="1" applyAlignment="1">
      <alignment horizontal="center" vertical="center"/>
    </xf>
    <xf numFmtId="0" fontId="11" fillId="29" borderId="22" xfId="0" applyFont="1" applyFill="1" applyBorder="1" applyAlignment="1">
      <alignment horizontal="center" vertical="center"/>
    </xf>
    <xf numFmtId="0" fontId="11" fillId="29" borderId="18" xfId="0" applyFont="1" applyFill="1" applyBorder="1" applyAlignment="1">
      <alignment horizontal="center" vertical="center"/>
    </xf>
    <xf numFmtId="0" fontId="2" fillId="30" borderId="5" xfId="0" applyFont="1" applyFill="1" applyBorder="1" applyAlignment="1">
      <alignment horizontal="center" vertical="center"/>
    </xf>
    <xf numFmtId="0" fontId="11" fillId="31" borderId="21" xfId="0" applyFont="1" applyFill="1" applyBorder="1" applyAlignment="1">
      <alignment horizontal="center" vertical="center"/>
    </xf>
    <xf numFmtId="0" fontId="11" fillId="31" borderId="22" xfId="0" applyFont="1" applyFill="1" applyBorder="1" applyAlignment="1">
      <alignment horizontal="center" vertical="center"/>
    </xf>
    <xf numFmtId="0" fontId="11" fillId="31" borderId="18" xfId="0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horizontal="center" vertical="center"/>
    </xf>
    <xf numFmtId="0" fontId="10" fillId="33" borderId="5" xfId="0" applyFont="1" applyFill="1" applyBorder="1" applyAlignment="1">
      <alignment horizontal="center" vertical="center"/>
    </xf>
    <xf numFmtId="0" fontId="10" fillId="34" borderId="5" xfId="0" applyFont="1" applyFill="1" applyBorder="1" applyAlignment="1">
      <alignment horizontal="center" vertical="center"/>
    </xf>
    <xf numFmtId="0" fontId="0" fillId="26" borderId="5" xfId="0" applyFill="1" applyBorder="1" applyAlignment="1">
      <alignment horizontal="center" vertical="center"/>
    </xf>
    <xf numFmtId="0" fontId="5" fillId="26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6" borderId="5" xfId="0" applyFont="1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0" fillId="35" borderId="5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14" fillId="36" borderId="5" xfId="0" applyFont="1" applyFill="1" applyBorder="1" applyAlignment="1">
      <alignment horizontal="center" vertical="center"/>
    </xf>
    <xf numFmtId="0" fontId="2" fillId="37" borderId="5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37" borderId="5" xfId="0" applyFill="1" applyBorder="1" applyAlignment="1">
      <alignment horizontal="center" vertical="center"/>
    </xf>
    <xf numFmtId="0" fontId="0" fillId="36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3" fillId="32" borderId="14" xfId="0" applyFont="1" applyFill="1" applyBorder="1" applyAlignment="1">
      <alignment horizontal="center" vertical="center"/>
    </xf>
    <xf numFmtId="0" fontId="13" fillId="32" borderId="19" xfId="0" applyFont="1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22" borderId="14" xfId="0" applyFont="1" applyFill="1" applyBorder="1" applyAlignment="1">
      <alignment horizontal="center" vertical="center"/>
    </xf>
    <xf numFmtId="0" fontId="5" fillId="22" borderId="19" xfId="0" applyFont="1" applyFill="1" applyBorder="1" applyAlignment="1">
      <alignment horizontal="center" vertical="center"/>
    </xf>
    <xf numFmtId="0" fontId="5" fillId="22" borderId="20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2" fillId="0" borderId="2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5" fillId="34" borderId="5" xfId="0" applyFont="1" applyFill="1" applyBorder="1" applyAlignment="1">
      <alignment horizontal="center" vertical="center"/>
    </xf>
    <xf numFmtId="0" fontId="0" fillId="34" borderId="5" xfId="0" applyFill="1" applyBorder="1" applyAlignment="1">
      <alignment horizontal="center" vertical="center"/>
    </xf>
    <xf numFmtId="0" fontId="5" fillId="33" borderId="5" xfId="0" applyFont="1" applyFill="1" applyBorder="1" applyAlignment="1">
      <alignment horizontal="center" vertical="center"/>
    </xf>
    <xf numFmtId="0" fontId="0" fillId="33" borderId="5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F1EE-3B77-8F4D-9255-258988A84AC3}">
  <dimension ref="A2:O535"/>
  <sheetViews>
    <sheetView zoomScale="84" workbookViewId="0">
      <selection activeCell="G543" sqref="G543"/>
    </sheetView>
  </sheetViews>
  <sheetFormatPr baseColWidth="10" defaultRowHeight="16" x14ac:dyDescent="0.2"/>
  <cols>
    <col min="1" max="1" width="22.33203125" bestFit="1" customWidth="1"/>
    <col min="5" max="5" width="7.83203125" bestFit="1" customWidth="1"/>
  </cols>
  <sheetData>
    <row r="2" spans="1:6" x14ac:dyDescent="0.2">
      <c r="A2" t="s">
        <v>10</v>
      </c>
      <c r="B2" t="s">
        <v>11</v>
      </c>
      <c r="D2" s="7" t="s">
        <v>86</v>
      </c>
      <c r="E2" s="40">
        <v>45385</v>
      </c>
      <c r="F2" s="7" t="s">
        <v>68</v>
      </c>
    </row>
    <row r="4" spans="1:6" x14ac:dyDescent="0.2">
      <c r="A4" t="s">
        <v>12</v>
      </c>
    </row>
    <row r="5" spans="1:6" x14ac:dyDescent="0.2">
      <c r="A5" t="s">
        <v>13</v>
      </c>
      <c r="B5" t="s">
        <v>14</v>
      </c>
    </row>
    <row r="6" spans="1:6" x14ac:dyDescent="0.2">
      <c r="A6" t="s">
        <v>15</v>
      </c>
      <c r="B6" t="s">
        <v>68</v>
      </c>
    </row>
    <row r="7" spans="1:6" x14ac:dyDescent="0.2">
      <c r="A7" t="s">
        <v>17</v>
      </c>
      <c r="B7" s="8">
        <v>45385</v>
      </c>
    </row>
    <row r="8" spans="1:6" x14ac:dyDescent="0.2">
      <c r="A8" t="s">
        <v>18</v>
      </c>
      <c r="B8" s="9">
        <v>0.62873842592592599</v>
      </c>
    </row>
    <row r="9" spans="1:6" x14ac:dyDescent="0.2">
      <c r="A9" t="s">
        <v>19</v>
      </c>
      <c r="B9" t="s">
        <v>20</v>
      </c>
    </row>
    <row r="10" spans="1:6" x14ac:dyDescent="0.2">
      <c r="A10" t="s">
        <v>21</v>
      </c>
      <c r="B10" t="s">
        <v>22</v>
      </c>
    </row>
    <row r="11" spans="1:6" x14ac:dyDescent="0.2">
      <c r="A11" t="s">
        <v>23</v>
      </c>
      <c r="B11" t="s">
        <v>24</v>
      </c>
    </row>
    <row r="13" spans="1:6" x14ac:dyDescent="0.2">
      <c r="A13" s="10" t="s">
        <v>25</v>
      </c>
      <c r="B13" s="11"/>
    </row>
    <row r="14" spans="1:6" x14ac:dyDescent="0.2">
      <c r="A14" t="s">
        <v>26</v>
      </c>
      <c r="B14" t="s">
        <v>27</v>
      </c>
    </row>
    <row r="15" spans="1:6" x14ac:dyDescent="0.2">
      <c r="A15" t="s">
        <v>28</v>
      </c>
    </row>
    <row r="16" spans="1:6" x14ac:dyDescent="0.2">
      <c r="A16" t="s">
        <v>29</v>
      </c>
      <c r="B16" t="s">
        <v>30</v>
      </c>
    </row>
    <row r="17" spans="1:15" x14ac:dyDescent="0.2">
      <c r="B17" t="s">
        <v>31</v>
      </c>
    </row>
    <row r="18" spans="1:15" x14ac:dyDescent="0.2">
      <c r="B18" t="s">
        <v>32</v>
      </c>
    </row>
    <row r="19" spans="1:15" x14ac:dyDescent="0.2">
      <c r="B19" t="s">
        <v>33</v>
      </c>
    </row>
    <row r="20" spans="1:15" x14ac:dyDescent="0.2">
      <c r="B20" t="s">
        <v>34</v>
      </c>
    </row>
    <row r="21" spans="1:15" x14ac:dyDescent="0.2">
      <c r="B21" t="s">
        <v>35</v>
      </c>
    </row>
    <row r="23" spans="1:15" x14ac:dyDescent="0.2">
      <c r="A23" s="10" t="s">
        <v>36</v>
      </c>
      <c r="B23" s="11"/>
    </row>
    <row r="24" spans="1:15" x14ac:dyDescent="0.2">
      <c r="A24" t="s">
        <v>37</v>
      </c>
      <c r="B24">
        <v>20.2</v>
      </c>
    </row>
    <row r="26" spans="1:15" x14ac:dyDescent="0.2">
      <c r="B26" s="12"/>
      <c r="C26" s="13">
        <v>1</v>
      </c>
      <c r="D26" s="13">
        <v>2</v>
      </c>
      <c r="E26" s="13">
        <v>3</v>
      </c>
      <c r="F26" s="13">
        <v>4</v>
      </c>
      <c r="G26" s="13">
        <v>5</v>
      </c>
      <c r="H26" s="13">
        <v>6</v>
      </c>
      <c r="I26" s="13">
        <v>7</v>
      </c>
      <c r="J26" s="13">
        <v>8</v>
      </c>
      <c r="K26" s="13">
        <v>9</v>
      </c>
      <c r="L26" s="13">
        <v>10</v>
      </c>
      <c r="M26" s="13">
        <v>11</v>
      </c>
      <c r="N26" s="13">
        <v>12</v>
      </c>
    </row>
    <row r="27" spans="1:15" x14ac:dyDescent="0.2">
      <c r="B27" s="132" t="s">
        <v>0</v>
      </c>
      <c r="C27" s="14">
        <v>4.8000000000000001E-2</v>
      </c>
      <c r="D27" s="15">
        <v>4.9000000000000002E-2</v>
      </c>
      <c r="E27" s="15">
        <v>4.9000000000000002E-2</v>
      </c>
      <c r="F27" s="28">
        <v>0.05</v>
      </c>
      <c r="G27" s="28">
        <v>0.05</v>
      </c>
      <c r="H27" s="15">
        <v>4.9000000000000002E-2</v>
      </c>
      <c r="I27" s="15">
        <v>4.9000000000000002E-2</v>
      </c>
      <c r="J27" s="28">
        <v>0.05</v>
      </c>
      <c r="K27" s="15">
        <v>4.8000000000000001E-2</v>
      </c>
      <c r="L27" s="15">
        <v>4.9000000000000002E-2</v>
      </c>
      <c r="M27" s="28">
        <v>0.05</v>
      </c>
      <c r="N27" s="15">
        <v>4.9000000000000002E-2</v>
      </c>
      <c r="O27" s="18" t="s">
        <v>38</v>
      </c>
    </row>
    <row r="28" spans="1:15" x14ac:dyDescent="0.2">
      <c r="B28" s="133"/>
      <c r="C28" s="21">
        <v>4.2999999999999997E-2</v>
      </c>
      <c r="D28" s="21">
        <v>4.2999999999999997E-2</v>
      </c>
      <c r="E28" s="20">
        <v>4.3999999999999997E-2</v>
      </c>
      <c r="F28" s="20">
        <v>4.3999999999999997E-2</v>
      </c>
      <c r="G28" s="20">
        <v>4.3999999999999997E-2</v>
      </c>
      <c r="H28" s="21">
        <v>4.2999999999999997E-2</v>
      </c>
      <c r="I28" s="21">
        <v>4.2999999999999997E-2</v>
      </c>
      <c r="J28" s="20">
        <v>4.3999999999999997E-2</v>
      </c>
      <c r="K28" s="21">
        <v>4.2999999999999997E-2</v>
      </c>
      <c r="L28" s="21">
        <v>4.2999999999999997E-2</v>
      </c>
      <c r="M28" s="21">
        <v>4.2999999999999997E-2</v>
      </c>
      <c r="N28" s="21">
        <v>4.2999999999999997E-2</v>
      </c>
      <c r="O28" s="18" t="s">
        <v>39</v>
      </c>
    </row>
    <row r="29" spans="1:15" x14ac:dyDescent="0.2">
      <c r="B29" s="133"/>
      <c r="C29" s="24">
        <v>2.8000000000000001E-2</v>
      </c>
      <c r="D29" s="39">
        <v>3.3000000000000002E-2</v>
      </c>
      <c r="E29" s="31">
        <v>3.1E-2</v>
      </c>
      <c r="F29" s="39">
        <v>3.3000000000000002E-2</v>
      </c>
      <c r="G29" s="39">
        <v>3.4000000000000002E-2</v>
      </c>
      <c r="H29" s="36">
        <v>3.5000000000000003E-2</v>
      </c>
      <c r="I29" s="22">
        <v>3.1E-2</v>
      </c>
      <c r="J29" s="39">
        <v>3.3000000000000002E-2</v>
      </c>
      <c r="K29" s="31">
        <v>2.9000000000000001E-2</v>
      </c>
      <c r="L29" s="24">
        <v>2.9000000000000001E-2</v>
      </c>
      <c r="M29" s="36">
        <v>3.4000000000000002E-2</v>
      </c>
      <c r="N29" s="31">
        <v>3.1E-2</v>
      </c>
      <c r="O29" s="18" t="s">
        <v>40</v>
      </c>
    </row>
    <row r="30" spans="1:15" x14ac:dyDescent="0.2">
      <c r="B30" s="133"/>
      <c r="C30" s="19">
        <v>4.2000000000000003E-2</v>
      </c>
      <c r="D30" s="19">
        <v>4.3999999999999997E-2</v>
      </c>
      <c r="E30" s="19">
        <v>4.3999999999999997E-2</v>
      </c>
      <c r="F30" s="19">
        <v>4.2999999999999997E-2</v>
      </c>
      <c r="G30" s="19">
        <v>4.3999999999999997E-2</v>
      </c>
      <c r="H30" s="19">
        <v>4.2999999999999997E-2</v>
      </c>
      <c r="I30" s="19">
        <v>4.2000000000000003E-2</v>
      </c>
      <c r="J30" s="19">
        <v>4.2999999999999997E-2</v>
      </c>
      <c r="K30" s="19">
        <v>4.2000000000000003E-2</v>
      </c>
      <c r="L30" s="19">
        <v>4.3999999999999997E-2</v>
      </c>
      <c r="M30" s="19">
        <v>4.2999999999999997E-2</v>
      </c>
      <c r="N30" s="19">
        <v>4.2000000000000003E-2</v>
      </c>
      <c r="O30" s="18">
        <v>570</v>
      </c>
    </row>
    <row r="31" spans="1:15" x14ac:dyDescent="0.2">
      <c r="B31" s="134"/>
      <c r="C31" s="27">
        <v>1.4750000000000001</v>
      </c>
      <c r="D31" s="27">
        <v>1.3140000000000001</v>
      </c>
      <c r="E31" s="27">
        <v>1.45</v>
      </c>
      <c r="F31" s="27">
        <v>1.296</v>
      </c>
      <c r="G31" s="27">
        <v>1.29</v>
      </c>
      <c r="H31" s="27">
        <v>1.226</v>
      </c>
      <c r="I31" s="27">
        <v>1.363</v>
      </c>
      <c r="J31" s="27">
        <v>1.306</v>
      </c>
      <c r="K31" s="27">
        <v>1.423</v>
      </c>
      <c r="L31" s="27">
        <v>1.5269999999999999</v>
      </c>
      <c r="M31" s="27">
        <v>1.2370000000000001</v>
      </c>
      <c r="N31" s="27">
        <v>1.3779999999999999</v>
      </c>
      <c r="O31" s="18" t="s">
        <v>41</v>
      </c>
    </row>
    <row r="32" spans="1:15" x14ac:dyDescent="0.2">
      <c r="B32" s="132" t="s">
        <v>1</v>
      </c>
      <c r="C32" s="14">
        <v>4.5999999999999999E-2</v>
      </c>
      <c r="D32" s="34">
        <v>5.6000000000000001E-2</v>
      </c>
      <c r="E32" s="28">
        <v>0.05</v>
      </c>
      <c r="F32" s="15">
        <v>4.8000000000000001E-2</v>
      </c>
      <c r="G32" s="15">
        <v>4.9000000000000002E-2</v>
      </c>
      <c r="H32" s="65">
        <v>0.06</v>
      </c>
      <c r="I32" s="33">
        <v>5.2999999999999999E-2</v>
      </c>
      <c r="J32" s="15">
        <v>4.8000000000000001E-2</v>
      </c>
      <c r="K32" s="15">
        <v>4.9000000000000002E-2</v>
      </c>
      <c r="L32" s="34">
        <v>5.5E-2</v>
      </c>
      <c r="M32" s="14">
        <v>4.8000000000000001E-2</v>
      </c>
      <c r="N32" s="15">
        <v>4.9000000000000002E-2</v>
      </c>
      <c r="O32" s="18" t="s">
        <v>38</v>
      </c>
    </row>
    <row r="33" spans="2:15" x14ac:dyDescent="0.2">
      <c r="B33" s="133"/>
      <c r="C33" s="21">
        <v>4.2000000000000003E-2</v>
      </c>
      <c r="D33" s="24">
        <v>5.0999999999999997E-2</v>
      </c>
      <c r="E33" s="20">
        <v>4.3999999999999997E-2</v>
      </c>
      <c r="F33" s="21">
        <v>4.2999999999999997E-2</v>
      </c>
      <c r="G33" s="21">
        <v>4.3999999999999997E-2</v>
      </c>
      <c r="H33" s="31">
        <v>5.3999999999999999E-2</v>
      </c>
      <c r="I33" s="25">
        <v>4.7E-2</v>
      </c>
      <c r="J33" s="21">
        <v>4.2000000000000003E-2</v>
      </c>
      <c r="K33" s="21">
        <v>4.2999999999999997E-2</v>
      </c>
      <c r="L33" s="23">
        <v>0.05</v>
      </c>
      <c r="M33" s="21">
        <v>4.2000000000000003E-2</v>
      </c>
      <c r="N33" s="21">
        <v>4.2999999999999997E-2</v>
      </c>
      <c r="O33" s="18" t="s">
        <v>39</v>
      </c>
    </row>
    <row r="34" spans="2:15" x14ac:dyDescent="0.2">
      <c r="B34" s="133"/>
      <c r="C34" s="25">
        <v>2.4E-2</v>
      </c>
      <c r="D34" s="25">
        <v>2.5999999999999999E-2</v>
      </c>
      <c r="E34" s="22">
        <v>3.2000000000000001E-2</v>
      </c>
      <c r="F34" s="25">
        <v>2.5999999999999999E-2</v>
      </c>
      <c r="G34" s="24">
        <v>2.9000000000000001E-2</v>
      </c>
      <c r="H34" s="22">
        <v>3.2000000000000001E-2</v>
      </c>
      <c r="I34" s="22">
        <v>3.2000000000000001E-2</v>
      </c>
      <c r="J34" s="36">
        <v>3.5000000000000003E-2</v>
      </c>
      <c r="K34" s="31">
        <v>3.1E-2</v>
      </c>
      <c r="L34" s="25">
        <v>2.4E-2</v>
      </c>
      <c r="M34" s="31">
        <v>2.9000000000000001E-2</v>
      </c>
      <c r="N34" s="31">
        <v>3.1E-2</v>
      </c>
      <c r="O34" s="18" t="s">
        <v>40</v>
      </c>
    </row>
    <row r="35" spans="2:15" x14ac:dyDescent="0.2">
      <c r="B35" s="133"/>
      <c r="C35" s="19">
        <v>4.2999999999999997E-2</v>
      </c>
      <c r="D35" s="32">
        <v>1.0720000000000001</v>
      </c>
      <c r="E35" s="25">
        <v>0.41399999999999998</v>
      </c>
      <c r="F35" s="19">
        <v>5.8999999999999997E-2</v>
      </c>
      <c r="G35" s="23">
        <v>0.53200000000000003</v>
      </c>
      <c r="H35" s="30">
        <v>1.115</v>
      </c>
      <c r="I35" s="26">
        <v>0.35599999999999998</v>
      </c>
      <c r="J35" s="19">
        <v>7.1999999999999995E-2</v>
      </c>
      <c r="K35" s="26">
        <v>0.36599999999999999</v>
      </c>
      <c r="L35" s="32">
        <v>1.0580000000000001</v>
      </c>
      <c r="M35" s="19">
        <v>0.122</v>
      </c>
      <c r="N35" s="19">
        <v>4.2000000000000003E-2</v>
      </c>
      <c r="O35" s="18">
        <v>570</v>
      </c>
    </row>
    <row r="36" spans="2:15" x14ac:dyDescent="0.2">
      <c r="B36" s="134"/>
      <c r="C36" s="27">
        <v>1.7390000000000001</v>
      </c>
      <c r="D36" s="27">
        <v>41.951999999999998</v>
      </c>
      <c r="E36" s="27">
        <v>13.08</v>
      </c>
      <c r="F36" s="27">
        <v>2.3170000000000002</v>
      </c>
      <c r="G36" s="27">
        <v>18.428999999999998</v>
      </c>
      <c r="H36" s="27">
        <v>35.204000000000001</v>
      </c>
      <c r="I36" s="27">
        <v>11.045</v>
      </c>
      <c r="J36" s="27">
        <v>2.0539999999999998</v>
      </c>
      <c r="K36" s="27">
        <v>11.965</v>
      </c>
      <c r="L36" s="27">
        <v>43.277999999999999</v>
      </c>
      <c r="M36" s="27">
        <v>4.1369999999999996</v>
      </c>
      <c r="N36" s="27">
        <v>1.371</v>
      </c>
      <c r="O36" s="18" t="s">
        <v>41</v>
      </c>
    </row>
    <row r="37" spans="2:15" x14ac:dyDescent="0.2">
      <c r="B37" s="132" t="s">
        <v>3</v>
      </c>
      <c r="C37" s="15">
        <v>4.8000000000000001E-2</v>
      </c>
      <c r="D37" s="28">
        <v>0.05</v>
      </c>
      <c r="E37" s="28">
        <v>0.05</v>
      </c>
      <c r="F37" s="29">
        <v>5.1999999999999998E-2</v>
      </c>
      <c r="G37" s="29">
        <v>5.2999999999999999E-2</v>
      </c>
      <c r="H37" s="29">
        <v>5.2999999999999999E-2</v>
      </c>
      <c r="I37" s="33">
        <v>5.5E-2</v>
      </c>
      <c r="J37" s="28">
        <v>0.05</v>
      </c>
      <c r="K37" s="28">
        <v>5.0999999999999997E-2</v>
      </c>
      <c r="L37" s="15">
        <v>4.9000000000000002E-2</v>
      </c>
      <c r="M37" s="29">
        <v>5.0999999999999997E-2</v>
      </c>
      <c r="N37" s="28">
        <v>0.05</v>
      </c>
      <c r="O37" s="18" t="s">
        <v>38</v>
      </c>
    </row>
    <row r="38" spans="2:15" x14ac:dyDescent="0.2">
      <c r="B38" s="133"/>
      <c r="C38" s="21">
        <v>4.2999999999999997E-2</v>
      </c>
      <c r="D38" s="20">
        <v>4.4999999999999998E-2</v>
      </c>
      <c r="E38" s="20">
        <v>4.3999999999999997E-2</v>
      </c>
      <c r="F38" s="26">
        <v>4.5999999999999999E-2</v>
      </c>
      <c r="G38" s="26">
        <v>4.5999999999999999E-2</v>
      </c>
      <c r="H38" s="26">
        <v>4.7E-2</v>
      </c>
      <c r="I38" s="25">
        <v>4.9000000000000002E-2</v>
      </c>
      <c r="J38" s="20">
        <v>4.3999999999999997E-2</v>
      </c>
      <c r="K38" s="20">
        <v>4.4999999999999998E-2</v>
      </c>
      <c r="L38" s="20">
        <v>4.3999999999999997E-2</v>
      </c>
      <c r="M38" s="26">
        <v>4.5999999999999999E-2</v>
      </c>
      <c r="N38" s="20">
        <v>4.3999999999999997E-2</v>
      </c>
      <c r="O38" s="18" t="s">
        <v>39</v>
      </c>
    </row>
    <row r="39" spans="2:15" x14ac:dyDescent="0.2">
      <c r="B39" s="133"/>
      <c r="C39" s="31">
        <v>2.9000000000000001E-2</v>
      </c>
      <c r="D39" s="22">
        <v>3.1E-2</v>
      </c>
      <c r="E39" s="22">
        <v>3.2000000000000001E-2</v>
      </c>
      <c r="F39" s="22">
        <v>3.2000000000000001E-2</v>
      </c>
      <c r="G39" s="36">
        <v>3.5000000000000003E-2</v>
      </c>
      <c r="H39" s="22">
        <v>3.2000000000000001E-2</v>
      </c>
      <c r="I39" s="39">
        <v>3.3000000000000002E-2</v>
      </c>
      <c r="J39" s="31">
        <v>3.1E-2</v>
      </c>
      <c r="K39" s="36">
        <v>3.4000000000000002E-2</v>
      </c>
      <c r="L39" s="24">
        <v>2.8000000000000001E-2</v>
      </c>
      <c r="M39" s="24">
        <v>2.8000000000000001E-2</v>
      </c>
      <c r="N39" s="22">
        <v>3.2000000000000001E-2</v>
      </c>
      <c r="O39" s="18" t="s">
        <v>40</v>
      </c>
    </row>
    <row r="40" spans="2:15" x14ac:dyDescent="0.2">
      <c r="B40" s="133"/>
      <c r="C40" s="19">
        <v>4.2999999999999997E-2</v>
      </c>
      <c r="D40" s="19">
        <v>8.8999999999999996E-2</v>
      </c>
      <c r="E40" s="26">
        <v>0.32</v>
      </c>
      <c r="F40" s="21">
        <v>0.151</v>
      </c>
      <c r="G40" s="24">
        <v>0.629</v>
      </c>
      <c r="H40" s="19">
        <v>8.4000000000000005E-2</v>
      </c>
      <c r="I40" s="26">
        <v>0.38500000000000001</v>
      </c>
      <c r="J40" s="19">
        <v>8.5000000000000006E-2</v>
      </c>
      <c r="K40" s="20">
        <v>0.26600000000000001</v>
      </c>
      <c r="L40" s="19">
        <v>7.5999999999999998E-2</v>
      </c>
      <c r="M40" s="21">
        <v>0.189</v>
      </c>
      <c r="N40" s="19">
        <v>4.2999999999999997E-2</v>
      </c>
      <c r="O40" s="18">
        <v>570</v>
      </c>
    </row>
    <row r="41" spans="2:15" x14ac:dyDescent="0.2">
      <c r="B41" s="134"/>
      <c r="C41" s="27">
        <v>1.464</v>
      </c>
      <c r="D41" s="27">
        <v>2.87</v>
      </c>
      <c r="E41" s="27">
        <v>9.94</v>
      </c>
      <c r="F41" s="27">
        <v>4.7679999999999998</v>
      </c>
      <c r="G41" s="27">
        <v>17.969000000000001</v>
      </c>
      <c r="H41" s="27">
        <v>2.601</v>
      </c>
      <c r="I41" s="27">
        <v>11.547000000000001</v>
      </c>
      <c r="J41" s="27">
        <v>2.7690000000000001</v>
      </c>
      <c r="K41" s="27">
        <v>7.7249999999999996</v>
      </c>
      <c r="L41" s="27">
        <v>2.7360000000000002</v>
      </c>
      <c r="M41" s="27">
        <v>6.8109999999999999</v>
      </c>
      <c r="N41" s="27">
        <v>1.3440000000000001</v>
      </c>
      <c r="O41" s="18" t="s">
        <v>41</v>
      </c>
    </row>
    <row r="42" spans="2:15" x14ac:dyDescent="0.2">
      <c r="B42" s="132" t="s">
        <v>5</v>
      </c>
      <c r="C42" s="15">
        <v>4.8000000000000001E-2</v>
      </c>
      <c r="D42" s="64">
        <v>5.7000000000000002E-2</v>
      </c>
      <c r="E42" s="29">
        <v>5.1999999999999998E-2</v>
      </c>
      <c r="F42" s="33">
        <v>5.3999999999999999E-2</v>
      </c>
      <c r="G42" s="29">
        <v>5.1999999999999998E-2</v>
      </c>
      <c r="H42" s="64">
        <v>5.8000000000000003E-2</v>
      </c>
      <c r="I42" s="29">
        <v>5.1999999999999998E-2</v>
      </c>
      <c r="J42" s="29">
        <v>5.1999999999999998E-2</v>
      </c>
      <c r="K42" s="29">
        <v>5.1999999999999998E-2</v>
      </c>
      <c r="L42" s="64">
        <v>5.8000000000000003E-2</v>
      </c>
      <c r="M42" s="28">
        <v>5.0999999999999997E-2</v>
      </c>
      <c r="N42" s="15">
        <v>4.9000000000000002E-2</v>
      </c>
      <c r="O42" s="18" t="s">
        <v>38</v>
      </c>
    </row>
    <row r="43" spans="2:15" x14ac:dyDescent="0.2">
      <c r="B43" s="133"/>
      <c r="C43" s="21">
        <v>4.2999999999999997E-2</v>
      </c>
      <c r="D43" s="24">
        <v>5.0999999999999997E-2</v>
      </c>
      <c r="E43" s="26">
        <v>4.7E-2</v>
      </c>
      <c r="F43" s="25">
        <v>4.8000000000000001E-2</v>
      </c>
      <c r="G43" s="20">
        <v>4.4999999999999998E-2</v>
      </c>
      <c r="H43" s="24">
        <v>5.1999999999999998E-2</v>
      </c>
      <c r="I43" s="25">
        <v>4.7E-2</v>
      </c>
      <c r="J43" s="26">
        <v>4.5999999999999999E-2</v>
      </c>
      <c r="K43" s="26">
        <v>4.4999999999999998E-2</v>
      </c>
      <c r="L43" s="24">
        <v>5.1999999999999998E-2</v>
      </c>
      <c r="M43" s="20">
        <v>4.4999999999999998E-2</v>
      </c>
      <c r="N43" s="21">
        <v>4.3999999999999997E-2</v>
      </c>
      <c r="O43" s="18" t="s">
        <v>39</v>
      </c>
    </row>
    <row r="44" spans="2:15" x14ac:dyDescent="0.2">
      <c r="B44" s="133"/>
      <c r="C44" s="24">
        <v>2.8000000000000001E-2</v>
      </c>
      <c r="D44" s="22">
        <v>3.2000000000000001E-2</v>
      </c>
      <c r="E44" s="31">
        <v>3.1E-2</v>
      </c>
      <c r="F44" s="39">
        <v>3.4000000000000002E-2</v>
      </c>
      <c r="G44" s="32">
        <v>3.5999999999999997E-2</v>
      </c>
      <c r="H44" s="31">
        <v>0.03</v>
      </c>
      <c r="I44" s="23">
        <v>2.7E-2</v>
      </c>
      <c r="J44" s="36">
        <v>3.5999999999999997E-2</v>
      </c>
      <c r="K44" s="30">
        <v>3.9E-2</v>
      </c>
      <c r="L44" s="22">
        <v>3.2000000000000001E-2</v>
      </c>
      <c r="M44" s="39">
        <v>3.3000000000000002E-2</v>
      </c>
      <c r="N44" s="22">
        <v>3.2000000000000001E-2</v>
      </c>
      <c r="O44" s="18" t="s">
        <v>40</v>
      </c>
    </row>
    <row r="45" spans="2:15" x14ac:dyDescent="0.2">
      <c r="B45" s="133"/>
      <c r="C45" s="19">
        <v>4.2999999999999997E-2</v>
      </c>
      <c r="D45" s="30">
        <v>1.159</v>
      </c>
      <c r="E45" s="24">
        <v>0.64600000000000002</v>
      </c>
      <c r="F45" s="31">
        <v>0.70499999999999996</v>
      </c>
      <c r="G45" s="26">
        <v>0.38300000000000001</v>
      </c>
      <c r="H45" s="30">
        <v>1.1919999999999999</v>
      </c>
      <c r="I45" s="39">
        <v>0.89500000000000002</v>
      </c>
      <c r="J45" s="19">
        <v>6.5000000000000002E-2</v>
      </c>
      <c r="K45" s="23">
        <v>0.56699999999999995</v>
      </c>
      <c r="L45" s="30">
        <v>1.151</v>
      </c>
      <c r="M45" s="20">
        <v>0.28699999999999998</v>
      </c>
      <c r="N45" s="19">
        <v>4.2999999999999997E-2</v>
      </c>
      <c r="O45" s="18">
        <v>570</v>
      </c>
    </row>
    <row r="46" spans="2:15" x14ac:dyDescent="0.2">
      <c r="B46" s="134"/>
      <c r="C46" s="27">
        <v>1.504</v>
      </c>
      <c r="D46" s="27">
        <v>36.587000000000003</v>
      </c>
      <c r="E46" s="27">
        <v>21.129000000000001</v>
      </c>
      <c r="F46" s="27">
        <v>20.791</v>
      </c>
      <c r="G46" s="27">
        <v>10.614000000000001</v>
      </c>
      <c r="H46" s="27">
        <v>39.732999999999997</v>
      </c>
      <c r="I46" s="27">
        <v>33.573999999999998</v>
      </c>
      <c r="J46" s="27">
        <v>1.82</v>
      </c>
      <c r="K46" s="27">
        <v>14.571999999999999</v>
      </c>
      <c r="L46" s="27">
        <v>35.710999999999999</v>
      </c>
      <c r="M46" s="27">
        <v>8.7530000000000001</v>
      </c>
      <c r="N46" s="27">
        <v>1.3220000000000001</v>
      </c>
      <c r="O46" s="18" t="s">
        <v>41</v>
      </c>
    </row>
    <row r="47" spans="2:15" x14ac:dyDescent="0.2">
      <c r="B47" s="132" t="s">
        <v>6</v>
      </c>
      <c r="C47" s="16">
        <v>4.4999999999999998E-2</v>
      </c>
      <c r="D47" s="15">
        <v>4.9000000000000002E-2</v>
      </c>
      <c r="E47" s="33">
        <v>5.2999999999999999E-2</v>
      </c>
      <c r="F47" s="17">
        <v>0.06</v>
      </c>
      <c r="G47" s="33">
        <v>5.3999999999999999E-2</v>
      </c>
      <c r="H47" s="15">
        <v>0.05</v>
      </c>
      <c r="I47" s="29">
        <v>5.0999999999999997E-2</v>
      </c>
      <c r="J47" s="28">
        <v>5.0999999999999997E-2</v>
      </c>
      <c r="K47" s="33">
        <v>5.2999999999999999E-2</v>
      </c>
      <c r="L47" s="28">
        <v>5.0999999999999997E-2</v>
      </c>
      <c r="M47" s="28">
        <v>5.0999999999999997E-2</v>
      </c>
      <c r="N47" s="15">
        <v>0.05</v>
      </c>
      <c r="O47" s="18" t="s">
        <v>38</v>
      </c>
    </row>
    <row r="48" spans="2:15" x14ac:dyDescent="0.2">
      <c r="B48" s="133"/>
      <c r="C48" s="19">
        <v>4.1000000000000002E-2</v>
      </c>
      <c r="D48" s="21">
        <v>4.2999999999999997E-2</v>
      </c>
      <c r="E48" s="25">
        <v>4.8000000000000001E-2</v>
      </c>
      <c r="F48" s="22">
        <v>5.5E-2</v>
      </c>
      <c r="G48" s="23">
        <v>4.9000000000000002E-2</v>
      </c>
      <c r="H48" s="20">
        <v>4.3999999999999997E-2</v>
      </c>
      <c r="I48" s="26">
        <v>4.5999999999999999E-2</v>
      </c>
      <c r="J48" s="20">
        <v>4.3999999999999997E-2</v>
      </c>
      <c r="K48" s="25">
        <v>4.8000000000000001E-2</v>
      </c>
      <c r="L48" s="20">
        <v>4.4999999999999998E-2</v>
      </c>
      <c r="M48" s="20">
        <v>4.4999999999999998E-2</v>
      </c>
      <c r="N48" s="21">
        <v>4.3999999999999997E-2</v>
      </c>
      <c r="O48" s="18" t="s">
        <v>39</v>
      </c>
    </row>
    <row r="49" spans="2:15" x14ac:dyDescent="0.2">
      <c r="B49" s="133"/>
      <c r="C49" s="26">
        <v>2.3E-2</v>
      </c>
      <c r="D49" s="31">
        <v>2.9000000000000001E-2</v>
      </c>
      <c r="E49" s="22">
        <v>3.2000000000000001E-2</v>
      </c>
      <c r="F49" s="22">
        <v>3.2000000000000001E-2</v>
      </c>
      <c r="G49" s="24">
        <v>2.8000000000000001E-2</v>
      </c>
      <c r="H49" s="24">
        <v>2.8000000000000001E-2</v>
      </c>
      <c r="I49" s="31">
        <v>0.03</v>
      </c>
      <c r="J49" s="36">
        <v>3.5999999999999997E-2</v>
      </c>
      <c r="K49" s="22">
        <v>3.1E-2</v>
      </c>
      <c r="L49" s="36">
        <v>3.5999999999999997E-2</v>
      </c>
      <c r="M49" s="39">
        <v>3.3000000000000002E-2</v>
      </c>
      <c r="N49" s="39">
        <v>3.3000000000000002E-2</v>
      </c>
      <c r="O49" s="18" t="s">
        <v>40</v>
      </c>
    </row>
    <row r="50" spans="2:15" x14ac:dyDescent="0.2">
      <c r="B50" s="133"/>
      <c r="C50" s="19">
        <v>4.2000000000000003E-2</v>
      </c>
      <c r="D50" s="19">
        <v>0.10199999999999999</v>
      </c>
      <c r="E50" s="24">
        <v>0.57799999999999996</v>
      </c>
      <c r="F50" s="22">
        <v>0.76900000000000002</v>
      </c>
      <c r="G50" s="24">
        <v>0.59899999999999998</v>
      </c>
      <c r="H50" s="19">
        <v>6.0999999999999999E-2</v>
      </c>
      <c r="I50" s="36">
        <v>1.004</v>
      </c>
      <c r="J50" s="19">
        <v>6.7000000000000004E-2</v>
      </c>
      <c r="K50" s="24">
        <v>0.66200000000000003</v>
      </c>
      <c r="L50" s="19">
        <v>5.0999999999999997E-2</v>
      </c>
      <c r="M50" s="26">
        <v>0.39600000000000002</v>
      </c>
      <c r="N50" s="19">
        <v>4.2000000000000003E-2</v>
      </c>
      <c r="O50" s="18">
        <v>570</v>
      </c>
    </row>
    <row r="51" spans="2:15" x14ac:dyDescent="0.2">
      <c r="B51" s="134"/>
      <c r="C51" s="27">
        <v>1.861</v>
      </c>
      <c r="D51" s="27">
        <v>3.4809999999999999</v>
      </c>
      <c r="E51" s="27">
        <v>18.262</v>
      </c>
      <c r="F51" s="27">
        <v>24.3</v>
      </c>
      <c r="G51" s="27">
        <v>21.56</v>
      </c>
      <c r="H51" s="27">
        <v>2.21</v>
      </c>
      <c r="I51" s="27">
        <v>33.450000000000003</v>
      </c>
      <c r="J51" s="27">
        <v>1.887</v>
      </c>
      <c r="K51" s="27">
        <v>21.285</v>
      </c>
      <c r="L51" s="27">
        <v>1.4339999999999999</v>
      </c>
      <c r="M51" s="27">
        <v>12.090999999999999</v>
      </c>
      <c r="N51" s="27">
        <v>1.272</v>
      </c>
      <c r="O51" s="18" t="s">
        <v>41</v>
      </c>
    </row>
    <row r="52" spans="2:15" x14ac:dyDescent="0.2">
      <c r="B52" s="132" t="s">
        <v>7</v>
      </c>
      <c r="C52" s="16">
        <v>4.4999999999999998E-2</v>
      </c>
      <c r="D52" s="29">
        <v>5.2999999999999999E-2</v>
      </c>
      <c r="E52" s="15">
        <v>4.8000000000000001E-2</v>
      </c>
      <c r="F52" s="15">
        <v>4.9000000000000002E-2</v>
      </c>
      <c r="G52" s="66">
        <v>6.6000000000000003E-2</v>
      </c>
      <c r="H52" s="64">
        <v>5.8000000000000003E-2</v>
      </c>
      <c r="I52" s="33">
        <v>5.3999999999999999E-2</v>
      </c>
      <c r="J52" s="29">
        <v>5.2999999999999999E-2</v>
      </c>
      <c r="K52" s="38">
        <v>6.8000000000000005E-2</v>
      </c>
      <c r="L52" s="35">
        <v>6.2E-2</v>
      </c>
      <c r="M52" s="34">
        <v>5.6000000000000001E-2</v>
      </c>
      <c r="N52" s="29">
        <v>5.1999999999999998E-2</v>
      </c>
      <c r="O52" s="18" t="s">
        <v>38</v>
      </c>
    </row>
    <row r="53" spans="2:15" x14ac:dyDescent="0.2">
      <c r="B53" s="133"/>
      <c r="C53" s="19">
        <v>4.2000000000000003E-2</v>
      </c>
      <c r="D53" s="25">
        <v>4.8000000000000001E-2</v>
      </c>
      <c r="E53" s="21">
        <v>4.2999999999999997E-2</v>
      </c>
      <c r="F53" s="20">
        <v>4.3999999999999997E-2</v>
      </c>
      <c r="G53" s="30">
        <v>6.2E-2</v>
      </c>
      <c r="H53" s="24">
        <v>5.0999999999999997E-2</v>
      </c>
      <c r="I53" s="25">
        <v>4.8000000000000001E-2</v>
      </c>
      <c r="J53" s="26">
        <v>4.4999999999999998E-2</v>
      </c>
      <c r="K53" s="37">
        <v>6.5000000000000002E-2</v>
      </c>
      <c r="L53" s="39">
        <v>5.6000000000000001E-2</v>
      </c>
      <c r="M53" s="23">
        <v>5.0999999999999997E-2</v>
      </c>
      <c r="N53" s="26">
        <v>4.5999999999999999E-2</v>
      </c>
      <c r="O53" s="18" t="s">
        <v>39</v>
      </c>
    </row>
    <row r="54" spans="2:15" x14ac:dyDescent="0.2">
      <c r="B54" s="133"/>
      <c r="C54" s="20">
        <v>2.1999999999999999E-2</v>
      </c>
      <c r="D54" s="23">
        <v>2.5999999999999999E-2</v>
      </c>
      <c r="E54" s="24">
        <v>2.8000000000000001E-2</v>
      </c>
      <c r="F54" s="23">
        <v>2.7E-2</v>
      </c>
      <c r="G54" s="20">
        <v>2.1999999999999999E-2</v>
      </c>
      <c r="H54" s="39">
        <v>3.4000000000000002E-2</v>
      </c>
      <c r="I54" s="32">
        <v>3.6999999999999998E-2</v>
      </c>
      <c r="J54" s="37">
        <v>4.1000000000000002E-2</v>
      </c>
      <c r="K54" s="21">
        <v>0.02</v>
      </c>
      <c r="L54" s="22">
        <v>3.1E-2</v>
      </c>
      <c r="M54" s="31">
        <v>2.9000000000000001E-2</v>
      </c>
      <c r="N54" s="39">
        <v>3.3000000000000002E-2</v>
      </c>
      <c r="O54" s="18" t="s">
        <v>40</v>
      </c>
    </row>
    <row r="55" spans="2:15" x14ac:dyDescent="0.2">
      <c r="B55" s="133"/>
      <c r="C55" s="19">
        <v>4.2999999999999997E-2</v>
      </c>
      <c r="D55" s="30">
        <v>1.1299999999999999</v>
      </c>
      <c r="E55" s="19">
        <v>0.09</v>
      </c>
      <c r="F55" s="24">
        <v>0.61</v>
      </c>
      <c r="G55" s="25">
        <v>0.40699999999999997</v>
      </c>
      <c r="H55" s="37">
        <v>1.2909999999999999</v>
      </c>
      <c r="I55" s="36">
        <v>0.93700000000000006</v>
      </c>
      <c r="J55" s="26">
        <v>0.32500000000000001</v>
      </c>
      <c r="K55" s="31">
        <v>0.68100000000000005</v>
      </c>
      <c r="L55" s="30">
        <v>1.155</v>
      </c>
      <c r="M55" s="31">
        <v>0.73099999999999998</v>
      </c>
      <c r="N55" s="19">
        <v>4.4999999999999998E-2</v>
      </c>
      <c r="O55" s="18">
        <v>570</v>
      </c>
    </row>
    <row r="56" spans="2:15" x14ac:dyDescent="0.2">
      <c r="B56" s="134"/>
      <c r="C56" s="27">
        <v>1.931</v>
      </c>
      <c r="D56" s="27">
        <v>43.287999999999997</v>
      </c>
      <c r="E56" s="27">
        <v>3.1619999999999999</v>
      </c>
      <c r="F56" s="27">
        <v>22.867999999999999</v>
      </c>
      <c r="G56" s="27">
        <v>18.324000000000002</v>
      </c>
      <c r="H56" s="27">
        <v>38.088999999999999</v>
      </c>
      <c r="I56" s="27">
        <v>25.167999999999999</v>
      </c>
      <c r="J56" s="27">
        <v>7.9130000000000003</v>
      </c>
      <c r="K56" s="27">
        <v>34.06</v>
      </c>
      <c r="L56" s="27">
        <v>37.128</v>
      </c>
      <c r="M56" s="27">
        <v>24.82</v>
      </c>
      <c r="N56" s="27">
        <v>1.35</v>
      </c>
      <c r="O56" s="18" t="s">
        <v>41</v>
      </c>
    </row>
    <row r="57" spans="2:15" x14ac:dyDescent="0.2">
      <c r="B57" s="132" t="s">
        <v>8</v>
      </c>
      <c r="C57" s="14">
        <v>4.8000000000000001E-2</v>
      </c>
      <c r="D57" s="16">
        <v>4.3999999999999997E-2</v>
      </c>
      <c r="E57" s="14">
        <v>4.7E-2</v>
      </c>
      <c r="F57" s="28">
        <v>0.05</v>
      </c>
      <c r="G57" s="15">
        <v>4.9000000000000002E-2</v>
      </c>
      <c r="H57" s="33">
        <v>5.2999999999999999E-2</v>
      </c>
      <c r="I57" s="29">
        <v>5.1999999999999998E-2</v>
      </c>
      <c r="J57" s="29">
        <v>5.1999999999999998E-2</v>
      </c>
      <c r="K57" s="68">
        <v>6.4000000000000001E-2</v>
      </c>
      <c r="L57" s="15">
        <v>0.05</v>
      </c>
      <c r="M57" s="29">
        <v>5.1999999999999998E-2</v>
      </c>
      <c r="N57" s="15">
        <v>4.8000000000000001E-2</v>
      </c>
      <c r="O57" s="18" t="s">
        <v>38</v>
      </c>
    </row>
    <row r="58" spans="2:15" x14ac:dyDescent="0.2">
      <c r="B58" s="133"/>
      <c r="C58" s="21">
        <v>4.2999999999999997E-2</v>
      </c>
      <c r="D58" s="19">
        <v>0.04</v>
      </c>
      <c r="E58" s="21">
        <v>4.2999999999999997E-2</v>
      </c>
      <c r="F58" s="20">
        <v>4.4999999999999998E-2</v>
      </c>
      <c r="G58" s="21">
        <v>4.2999999999999997E-2</v>
      </c>
      <c r="H58" s="25">
        <v>4.8000000000000001E-2</v>
      </c>
      <c r="I58" s="20">
        <v>4.4999999999999998E-2</v>
      </c>
      <c r="J58" s="26">
        <v>4.7E-2</v>
      </c>
      <c r="K58" s="30">
        <v>6.0999999999999999E-2</v>
      </c>
      <c r="L58" s="20">
        <v>4.3999999999999997E-2</v>
      </c>
      <c r="M58" s="20">
        <v>4.4999999999999998E-2</v>
      </c>
      <c r="N58" s="21">
        <v>4.2999999999999997E-2</v>
      </c>
      <c r="O58" s="18" t="s">
        <v>39</v>
      </c>
    </row>
    <row r="59" spans="2:15" x14ac:dyDescent="0.2">
      <c r="B59" s="133"/>
      <c r="C59" s="23">
        <v>2.7E-2</v>
      </c>
      <c r="D59" s="25">
        <v>2.4E-2</v>
      </c>
      <c r="E59" s="20">
        <v>2.1999999999999999E-2</v>
      </c>
      <c r="F59" s="24">
        <v>2.9000000000000001E-2</v>
      </c>
      <c r="G59" s="22">
        <v>3.2000000000000001E-2</v>
      </c>
      <c r="H59" s="24">
        <v>2.8000000000000001E-2</v>
      </c>
      <c r="I59" s="37">
        <v>4.1000000000000002E-2</v>
      </c>
      <c r="J59" s="23">
        <v>2.5999999999999999E-2</v>
      </c>
      <c r="K59" s="19">
        <v>1.7000000000000001E-2</v>
      </c>
      <c r="L59" s="31">
        <v>3.1E-2</v>
      </c>
      <c r="M59" s="32">
        <v>3.6999999999999998E-2</v>
      </c>
      <c r="N59" s="31">
        <v>3.1E-2</v>
      </c>
      <c r="O59" s="18" t="s">
        <v>40</v>
      </c>
    </row>
    <row r="60" spans="2:15" x14ac:dyDescent="0.2">
      <c r="B60" s="133"/>
      <c r="C60" s="19">
        <v>4.2000000000000003E-2</v>
      </c>
      <c r="D60" s="19">
        <v>9.4E-2</v>
      </c>
      <c r="E60" s="19">
        <v>0.106</v>
      </c>
      <c r="F60" s="36">
        <v>0.94699999999999995</v>
      </c>
      <c r="G60" s="25">
        <v>0.46700000000000003</v>
      </c>
      <c r="H60" s="19">
        <v>9.9000000000000005E-2</v>
      </c>
      <c r="I60" s="32">
        <v>1.0289999999999999</v>
      </c>
      <c r="J60" s="23">
        <v>0.50700000000000001</v>
      </c>
      <c r="K60" s="31">
        <v>0.71699999999999997</v>
      </c>
      <c r="L60" s="19">
        <v>6.9000000000000006E-2</v>
      </c>
      <c r="M60" s="22">
        <v>0.75700000000000001</v>
      </c>
      <c r="N60" s="19">
        <v>4.2000000000000003E-2</v>
      </c>
      <c r="O60" s="18">
        <v>570</v>
      </c>
    </row>
    <row r="61" spans="2:15" x14ac:dyDescent="0.2">
      <c r="B61" s="134"/>
      <c r="C61" s="27">
        <v>1.5580000000000001</v>
      </c>
      <c r="D61" s="27">
        <v>3.85</v>
      </c>
      <c r="E61" s="27">
        <v>4.9059999999999997</v>
      </c>
      <c r="F61" s="27">
        <v>32.774000000000001</v>
      </c>
      <c r="G61" s="27">
        <v>14.506</v>
      </c>
      <c r="H61" s="27">
        <v>3.48</v>
      </c>
      <c r="I61" s="27">
        <v>25.378</v>
      </c>
      <c r="J61" s="27">
        <v>19.402000000000001</v>
      </c>
      <c r="K61" s="27">
        <v>41.615000000000002</v>
      </c>
      <c r="L61" s="27">
        <v>2.2709999999999999</v>
      </c>
      <c r="M61" s="27">
        <v>20.64</v>
      </c>
      <c r="N61" s="27">
        <v>1.371</v>
      </c>
      <c r="O61" s="18" t="s">
        <v>41</v>
      </c>
    </row>
    <row r="62" spans="2:15" x14ac:dyDescent="0.2">
      <c r="B62" s="132" t="s">
        <v>9</v>
      </c>
      <c r="C62" s="16">
        <v>4.4999999999999998E-2</v>
      </c>
      <c r="D62" s="14">
        <v>4.8000000000000001E-2</v>
      </c>
      <c r="E62" s="14">
        <v>4.8000000000000001E-2</v>
      </c>
      <c r="F62" s="15">
        <v>4.9000000000000002E-2</v>
      </c>
      <c r="G62" s="28">
        <v>0.05</v>
      </c>
      <c r="H62" s="28">
        <v>0.05</v>
      </c>
      <c r="I62" s="28">
        <v>5.0999999999999997E-2</v>
      </c>
      <c r="J62" s="15">
        <v>0.05</v>
      </c>
      <c r="K62" s="28">
        <v>5.0999999999999997E-2</v>
      </c>
      <c r="L62" s="28">
        <v>0.05</v>
      </c>
      <c r="M62" s="15">
        <v>0.05</v>
      </c>
      <c r="N62" s="28">
        <v>0.05</v>
      </c>
      <c r="O62" s="18" t="s">
        <v>38</v>
      </c>
    </row>
    <row r="63" spans="2:15" x14ac:dyDescent="0.2">
      <c r="B63" s="133"/>
      <c r="C63" s="19">
        <v>4.1000000000000002E-2</v>
      </c>
      <c r="D63" s="21">
        <v>4.2999999999999997E-2</v>
      </c>
      <c r="E63" s="21">
        <v>4.2000000000000003E-2</v>
      </c>
      <c r="F63" s="20">
        <v>4.3999999999999997E-2</v>
      </c>
      <c r="G63" s="20">
        <v>4.3999999999999997E-2</v>
      </c>
      <c r="H63" s="20">
        <v>4.3999999999999997E-2</v>
      </c>
      <c r="I63" s="20">
        <v>4.3999999999999997E-2</v>
      </c>
      <c r="J63" s="21">
        <v>4.2999999999999997E-2</v>
      </c>
      <c r="K63" s="20">
        <v>4.4999999999999998E-2</v>
      </c>
      <c r="L63" s="20">
        <v>4.3999999999999997E-2</v>
      </c>
      <c r="M63" s="20">
        <v>4.3999999999999997E-2</v>
      </c>
      <c r="N63" s="20">
        <v>4.3999999999999997E-2</v>
      </c>
      <c r="O63" s="18" t="s">
        <v>39</v>
      </c>
    </row>
    <row r="64" spans="2:15" x14ac:dyDescent="0.2">
      <c r="B64" s="133"/>
      <c r="C64" s="25">
        <v>2.5000000000000001E-2</v>
      </c>
      <c r="D64" s="24">
        <v>2.8000000000000001E-2</v>
      </c>
      <c r="E64" s="31">
        <v>2.9000000000000001E-2</v>
      </c>
      <c r="F64" s="31">
        <v>0.03</v>
      </c>
      <c r="G64" s="31">
        <v>3.1E-2</v>
      </c>
      <c r="H64" s="36">
        <v>3.4000000000000002E-2</v>
      </c>
      <c r="I64" s="32">
        <v>3.5999999999999997E-2</v>
      </c>
      <c r="J64" s="39">
        <v>3.4000000000000002E-2</v>
      </c>
      <c r="K64" s="39">
        <v>3.4000000000000002E-2</v>
      </c>
      <c r="L64" s="39">
        <v>3.3000000000000002E-2</v>
      </c>
      <c r="M64" s="22">
        <v>3.2000000000000001E-2</v>
      </c>
      <c r="N64" s="36">
        <v>3.5000000000000003E-2</v>
      </c>
      <c r="O64" s="18" t="s">
        <v>40</v>
      </c>
    </row>
    <row r="65" spans="1:15" x14ac:dyDescent="0.2">
      <c r="B65" s="133"/>
      <c r="C65" s="19">
        <v>4.2000000000000003E-2</v>
      </c>
      <c r="D65" s="19">
        <v>4.2000000000000003E-2</v>
      </c>
      <c r="E65" s="19">
        <v>4.2999999999999997E-2</v>
      </c>
      <c r="F65" s="19">
        <v>4.2999999999999997E-2</v>
      </c>
      <c r="G65" s="19">
        <v>4.2999999999999997E-2</v>
      </c>
      <c r="H65" s="19">
        <v>4.2999999999999997E-2</v>
      </c>
      <c r="I65" s="19">
        <v>4.3999999999999997E-2</v>
      </c>
      <c r="J65" s="19">
        <v>4.2000000000000003E-2</v>
      </c>
      <c r="K65" s="19">
        <v>4.2999999999999997E-2</v>
      </c>
      <c r="L65" s="19">
        <v>4.2999999999999997E-2</v>
      </c>
      <c r="M65" s="19">
        <v>4.2999999999999997E-2</v>
      </c>
      <c r="N65" s="19">
        <v>4.2999999999999997E-2</v>
      </c>
      <c r="O65" s="18">
        <v>570</v>
      </c>
    </row>
    <row r="66" spans="1:15" x14ac:dyDescent="0.2">
      <c r="B66" s="134"/>
      <c r="C66" s="27">
        <v>1.6759999999999999</v>
      </c>
      <c r="D66" s="27">
        <v>1.5049999999999999</v>
      </c>
      <c r="E66" s="27">
        <v>1.474</v>
      </c>
      <c r="F66" s="27">
        <v>1.4370000000000001</v>
      </c>
      <c r="G66" s="27">
        <v>1.4239999999999999</v>
      </c>
      <c r="H66" s="27">
        <v>1.2509999999999999</v>
      </c>
      <c r="I66" s="27">
        <v>1.216</v>
      </c>
      <c r="J66" s="27">
        <v>1.2509999999999999</v>
      </c>
      <c r="K66" s="27">
        <v>1.2749999999999999</v>
      </c>
      <c r="L66" s="27">
        <v>1.2969999999999999</v>
      </c>
      <c r="M66" s="27">
        <v>1.325</v>
      </c>
      <c r="N66" s="27">
        <v>1.22</v>
      </c>
      <c r="O66" s="18" t="s">
        <v>41</v>
      </c>
    </row>
    <row r="69" spans="1:15" x14ac:dyDescent="0.2">
      <c r="A69" t="s">
        <v>10</v>
      </c>
      <c r="B69" t="s">
        <v>11</v>
      </c>
      <c r="D69" s="7" t="s">
        <v>86</v>
      </c>
      <c r="E69" s="40">
        <v>45385</v>
      </c>
      <c r="F69" s="7" t="s">
        <v>67</v>
      </c>
    </row>
    <row r="71" spans="1:15" x14ac:dyDescent="0.2">
      <c r="A71" t="s">
        <v>12</v>
      </c>
    </row>
    <row r="72" spans="1:15" x14ac:dyDescent="0.2">
      <c r="A72" t="s">
        <v>13</v>
      </c>
      <c r="B72" t="s">
        <v>14</v>
      </c>
    </row>
    <row r="73" spans="1:15" x14ac:dyDescent="0.2">
      <c r="A73" t="s">
        <v>15</v>
      </c>
      <c r="B73" t="s">
        <v>67</v>
      </c>
    </row>
    <row r="74" spans="1:15" x14ac:dyDescent="0.2">
      <c r="A74" t="s">
        <v>17</v>
      </c>
      <c r="B74" s="8">
        <v>45385</v>
      </c>
    </row>
    <row r="75" spans="1:15" x14ac:dyDescent="0.2">
      <c r="A75" t="s">
        <v>18</v>
      </c>
      <c r="B75" s="9">
        <v>0.62525462962962963</v>
      </c>
    </row>
    <row r="76" spans="1:15" x14ac:dyDescent="0.2">
      <c r="A76" t="s">
        <v>19</v>
      </c>
      <c r="B76" t="s">
        <v>20</v>
      </c>
    </row>
    <row r="77" spans="1:15" x14ac:dyDescent="0.2">
      <c r="A77" t="s">
        <v>21</v>
      </c>
      <c r="B77" t="s">
        <v>22</v>
      </c>
    </row>
    <row r="78" spans="1:15" x14ac:dyDescent="0.2">
      <c r="A78" t="s">
        <v>23</v>
      </c>
      <c r="B78" t="s">
        <v>24</v>
      </c>
    </row>
    <row r="80" spans="1:15" x14ac:dyDescent="0.2">
      <c r="A80" s="10" t="s">
        <v>25</v>
      </c>
      <c r="B80" s="11"/>
    </row>
    <row r="81" spans="1:15" x14ac:dyDescent="0.2">
      <c r="A81" t="s">
        <v>26</v>
      </c>
      <c r="B81" t="s">
        <v>27</v>
      </c>
    </row>
    <row r="82" spans="1:15" x14ac:dyDescent="0.2">
      <c r="A82" t="s">
        <v>28</v>
      </c>
    </row>
    <row r="83" spans="1:15" x14ac:dyDescent="0.2">
      <c r="A83" t="s">
        <v>29</v>
      </c>
      <c r="B83" t="s">
        <v>30</v>
      </c>
    </row>
    <row r="84" spans="1:15" x14ac:dyDescent="0.2">
      <c r="B84" t="s">
        <v>31</v>
      </c>
    </row>
    <row r="85" spans="1:15" x14ac:dyDescent="0.2">
      <c r="B85" t="s">
        <v>32</v>
      </c>
    </row>
    <row r="86" spans="1:15" x14ac:dyDescent="0.2">
      <c r="B86" t="s">
        <v>33</v>
      </c>
    </row>
    <row r="87" spans="1:15" x14ac:dyDescent="0.2">
      <c r="B87" t="s">
        <v>34</v>
      </c>
    </row>
    <row r="88" spans="1:15" x14ac:dyDescent="0.2">
      <c r="B88" t="s">
        <v>35</v>
      </c>
    </row>
    <row r="90" spans="1:15" x14ac:dyDescent="0.2">
      <c r="A90" s="10" t="s">
        <v>36</v>
      </c>
      <c r="B90" s="11"/>
    </row>
    <row r="91" spans="1:15" x14ac:dyDescent="0.2">
      <c r="A91" t="s">
        <v>37</v>
      </c>
      <c r="B91">
        <v>20.100000000000001</v>
      </c>
    </row>
    <row r="93" spans="1:15" x14ac:dyDescent="0.2">
      <c r="B93" s="12"/>
      <c r="C93" s="13">
        <v>1</v>
      </c>
      <c r="D93" s="13">
        <v>2</v>
      </c>
      <c r="E93" s="13">
        <v>3</v>
      </c>
      <c r="F93" s="13">
        <v>4</v>
      </c>
      <c r="G93" s="13">
        <v>5</v>
      </c>
      <c r="H93" s="13">
        <v>6</v>
      </c>
      <c r="I93" s="13">
        <v>7</v>
      </c>
      <c r="J93" s="13">
        <v>8</v>
      </c>
      <c r="K93" s="13">
        <v>9</v>
      </c>
      <c r="L93" s="13">
        <v>10</v>
      </c>
      <c r="M93" s="13">
        <v>11</v>
      </c>
      <c r="N93" s="13">
        <v>12</v>
      </c>
    </row>
    <row r="94" spans="1:15" x14ac:dyDescent="0.2">
      <c r="B94" s="132" t="s">
        <v>0</v>
      </c>
      <c r="C94" s="15">
        <v>4.7E-2</v>
      </c>
      <c r="D94" s="15">
        <v>4.8000000000000001E-2</v>
      </c>
      <c r="E94" s="29">
        <v>0.05</v>
      </c>
      <c r="F94" s="29">
        <v>0.05</v>
      </c>
      <c r="G94" s="15">
        <v>4.8000000000000001E-2</v>
      </c>
      <c r="H94" s="28">
        <v>4.9000000000000002E-2</v>
      </c>
      <c r="I94" s="29">
        <v>0.05</v>
      </c>
      <c r="J94" s="28">
        <v>4.9000000000000002E-2</v>
      </c>
      <c r="K94" s="28">
        <v>4.9000000000000002E-2</v>
      </c>
      <c r="L94" s="14">
        <v>4.7E-2</v>
      </c>
      <c r="M94" s="28">
        <v>4.9000000000000002E-2</v>
      </c>
      <c r="N94" s="34">
        <v>5.2999999999999999E-2</v>
      </c>
      <c r="O94" s="18" t="s">
        <v>38</v>
      </c>
    </row>
    <row r="95" spans="1:15" x14ac:dyDescent="0.2">
      <c r="B95" s="133"/>
      <c r="C95" s="21">
        <v>4.2000000000000003E-2</v>
      </c>
      <c r="D95" s="21">
        <v>4.2000000000000003E-2</v>
      </c>
      <c r="E95" s="26">
        <v>4.3999999999999997E-2</v>
      </c>
      <c r="F95" s="20">
        <v>4.3999999999999997E-2</v>
      </c>
      <c r="G95" s="21">
        <v>4.2999999999999997E-2</v>
      </c>
      <c r="H95" s="20">
        <v>4.2999999999999997E-2</v>
      </c>
      <c r="I95" s="26">
        <v>4.4999999999999998E-2</v>
      </c>
      <c r="J95" s="20">
        <v>4.2999999999999997E-2</v>
      </c>
      <c r="K95" s="20">
        <v>4.2999999999999997E-2</v>
      </c>
      <c r="L95" s="21">
        <v>4.2000000000000003E-2</v>
      </c>
      <c r="M95" s="21">
        <v>4.2000000000000003E-2</v>
      </c>
      <c r="N95" s="24">
        <v>4.8000000000000001E-2</v>
      </c>
      <c r="O95" s="18" t="s">
        <v>39</v>
      </c>
    </row>
    <row r="96" spans="1:15" x14ac:dyDescent="0.2">
      <c r="B96" s="133"/>
      <c r="C96" s="20">
        <v>2.7E-2</v>
      </c>
      <c r="D96" s="26">
        <v>3.1E-2</v>
      </c>
      <c r="E96" s="26">
        <v>3.1E-2</v>
      </c>
      <c r="F96" s="25">
        <v>3.3000000000000002E-2</v>
      </c>
      <c r="G96" s="20">
        <v>2.7E-2</v>
      </c>
      <c r="H96" s="26">
        <v>3.1E-2</v>
      </c>
      <c r="I96" s="26">
        <v>3.1E-2</v>
      </c>
      <c r="J96" s="26">
        <v>3.1E-2</v>
      </c>
      <c r="K96" s="20">
        <v>2.9000000000000001E-2</v>
      </c>
      <c r="L96" s="21">
        <v>2.5999999999999999E-2</v>
      </c>
      <c r="M96" s="25">
        <v>3.4000000000000002E-2</v>
      </c>
      <c r="N96" s="20">
        <v>2.8000000000000001E-2</v>
      </c>
      <c r="O96" s="18" t="s">
        <v>40</v>
      </c>
    </row>
    <row r="97" spans="2:15" x14ac:dyDescent="0.2">
      <c r="B97" s="133"/>
      <c r="C97" s="19">
        <v>4.2999999999999997E-2</v>
      </c>
      <c r="D97" s="19">
        <v>4.7E-2</v>
      </c>
      <c r="E97" s="19">
        <v>4.4999999999999998E-2</v>
      </c>
      <c r="F97" s="19">
        <v>4.4999999999999998E-2</v>
      </c>
      <c r="G97" s="19">
        <v>4.2000000000000003E-2</v>
      </c>
      <c r="H97" s="19">
        <v>4.2999999999999997E-2</v>
      </c>
      <c r="I97" s="19">
        <v>4.4999999999999998E-2</v>
      </c>
      <c r="J97" s="19">
        <v>4.2999999999999997E-2</v>
      </c>
      <c r="K97" s="19">
        <v>4.2000000000000003E-2</v>
      </c>
      <c r="L97" s="19">
        <v>4.2999999999999997E-2</v>
      </c>
      <c r="M97" s="19">
        <v>4.2999999999999997E-2</v>
      </c>
      <c r="N97" s="19">
        <v>4.7E-2</v>
      </c>
      <c r="O97" s="18">
        <v>570</v>
      </c>
    </row>
    <row r="98" spans="2:15" x14ac:dyDescent="0.2">
      <c r="B98" s="134"/>
      <c r="C98" s="27">
        <v>1.583</v>
      </c>
      <c r="D98" s="27">
        <v>1.504</v>
      </c>
      <c r="E98" s="27">
        <v>1.476</v>
      </c>
      <c r="F98" s="27">
        <v>1.3440000000000001</v>
      </c>
      <c r="G98" s="27">
        <v>1.55</v>
      </c>
      <c r="H98" s="27">
        <v>1.385</v>
      </c>
      <c r="I98" s="27">
        <v>1.4430000000000001</v>
      </c>
      <c r="J98" s="27">
        <v>1.407</v>
      </c>
      <c r="K98" s="27">
        <v>1.4570000000000001</v>
      </c>
      <c r="L98" s="27">
        <v>1.6619999999999999</v>
      </c>
      <c r="M98" s="27">
        <v>1.2749999999999999</v>
      </c>
      <c r="N98" s="27">
        <v>1.6990000000000001</v>
      </c>
      <c r="O98" s="18" t="s">
        <v>41</v>
      </c>
    </row>
    <row r="99" spans="2:15" x14ac:dyDescent="0.2">
      <c r="B99" s="132" t="s">
        <v>1</v>
      </c>
      <c r="C99" s="14">
        <v>4.5999999999999999E-2</v>
      </c>
      <c r="D99" s="68">
        <v>0.06</v>
      </c>
      <c r="E99" s="33">
        <v>5.1999999999999998E-2</v>
      </c>
      <c r="F99" s="28">
        <v>0.05</v>
      </c>
      <c r="G99" s="17">
        <v>5.6000000000000001E-2</v>
      </c>
      <c r="H99" s="34">
        <v>5.2999999999999999E-2</v>
      </c>
      <c r="I99" s="29">
        <v>0.05</v>
      </c>
      <c r="J99" s="15">
        <v>4.8000000000000001E-2</v>
      </c>
      <c r="K99" s="64">
        <v>5.3999999999999999E-2</v>
      </c>
      <c r="L99" s="64">
        <v>5.3999999999999999E-2</v>
      </c>
      <c r="M99" s="15">
        <v>4.8000000000000001E-2</v>
      </c>
      <c r="N99" s="28">
        <v>4.9000000000000002E-2</v>
      </c>
      <c r="O99" s="18" t="s">
        <v>38</v>
      </c>
    </row>
    <row r="100" spans="2:15" x14ac:dyDescent="0.2">
      <c r="B100" s="133"/>
      <c r="C100" s="21">
        <v>4.2000000000000003E-2</v>
      </c>
      <c r="D100" s="37">
        <v>5.6000000000000001E-2</v>
      </c>
      <c r="E100" s="23">
        <v>4.7E-2</v>
      </c>
      <c r="F100" s="26">
        <v>4.3999999999999997E-2</v>
      </c>
      <c r="G100" s="36">
        <v>5.1999999999999998E-2</v>
      </c>
      <c r="H100" s="24">
        <v>4.8000000000000001E-2</v>
      </c>
      <c r="I100" s="26">
        <v>4.3999999999999997E-2</v>
      </c>
      <c r="J100" s="21">
        <v>4.2000000000000003E-2</v>
      </c>
      <c r="K100" s="20">
        <v>4.2999999999999997E-2</v>
      </c>
      <c r="L100" s="31">
        <v>0.05</v>
      </c>
      <c r="M100" s="21">
        <v>4.2999999999999997E-2</v>
      </c>
      <c r="N100" s="20">
        <v>4.2999999999999997E-2</v>
      </c>
      <c r="O100" s="18" t="s">
        <v>39</v>
      </c>
    </row>
    <row r="101" spans="2:15" x14ac:dyDescent="0.2">
      <c r="B101" s="133"/>
      <c r="C101" s="19">
        <v>2.1999999999999999E-2</v>
      </c>
      <c r="D101" s="19">
        <v>0.02</v>
      </c>
      <c r="E101" s="21">
        <v>2.5999999999999999E-2</v>
      </c>
      <c r="F101" s="20">
        <v>2.8000000000000001E-2</v>
      </c>
      <c r="G101" s="19">
        <v>2.1999999999999999E-2</v>
      </c>
      <c r="H101" s="26">
        <v>3.1E-2</v>
      </c>
      <c r="I101" s="26">
        <v>3.1E-2</v>
      </c>
      <c r="J101" s="25">
        <v>3.3000000000000002E-2</v>
      </c>
      <c r="K101" s="30">
        <v>6.2E-2</v>
      </c>
      <c r="L101" s="19">
        <v>2.1999999999999999E-2</v>
      </c>
      <c r="M101" s="20">
        <v>2.7E-2</v>
      </c>
      <c r="N101" s="20">
        <v>2.8000000000000001E-2</v>
      </c>
      <c r="O101" s="18" t="s">
        <v>40</v>
      </c>
    </row>
    <row r="102" spans="2:15" x14ac:dyDescent="0.2">
      <c r="B102" s="133"/>
      <c r="C102" s="19">
        <v>4.2999999999999997E-2</v>
      </c>
      <c r="D102" s="32">
        <v>1.135</v>
      </c>
      <c r="E102" s="26">
        <v>0.36399999999999999</v>
      </c>
      <c r="F102" s="19">
        <v>7.5999999999999998E-2</v>
      </c>
      <c r="G102" s="23">
        <v>0.55600000000000005</v>
      </c>
      <c r="H102" s="32">
        <v>1.139</v>
      </c>
      <c r="I102" s="26">
        <v>0.36399999999999999</v>
      </c>
      <c r="J102" s="19">
        <v>4.9000000000000002E-2</v>
      </c>
      <c r="K102" s="25">
        <v>0.442</v>
      </c>
      <c r="L102" s="36">
        <v>1.091</v>
      </c>
      <c r="M102" s="19">
        <v>0.126</v>
      </c>
      <c r="N102" s="19">
        <v>4.2999999999999997E-2</v>
      </c>
      <c r="O102" s="18">
        <v>570</v>
      </c>
    </row>
    <row r="103" spans="2:15" x14ac:dyDescent="0.2">
      <c r="B103" s="134"/>
      <c r="C103" s="27">
        <v>1.948</v>
      </c>
      <c r="D103" s="27">
        <v>56.744999999999997</v>
      </c>
      <c r="E103" s="27">
        <v>13.929</v>
      </c>
      <c r="F103" s="27">
        <v>2.6930000000000001</v>
      </c>
      <c r="G103" s="27">
        <v>25.029</v>
      </c>
      <c r="H103" s="27">
        <v>37.28</v>
      </c>
      <c r="I103" s="27">
        <v>11.926</v>
      </c>
      <c r="J103" s="27">
        <v>1.458</v>
      </c>
      <c r="K103" s="27">
        <v>7.1589999999999998</v>
      </c>
      <c r="L103" s="27">
        <v>49.072000000000003</v>
      </c>
      <c r="M103" s="27">
        <v>4.7249999999999996</v>
      </c>
      <c r="N103" s="27">
        <v>1.544</v>
      </c>
      <c r="O103" s="18" t="s">
        <v>41</v>
      </c>
    </row>
    <row r="104" spans="2:15" x14ac:dyDescent="0.2">
      <c r="B104" s="132" t="s">
        <v>3</v>
      </c>
      <c r="C104" s="15">
        <v>4.7E-2</v>
      </c>
      <c r="D104" s="34">
        <v>5.2999999999999999E-2</v>
      </c>
      <c r="E104" s="29">
        <v>5.0999999999999997E-2</v>
      </c>
      <c r="F104" s="29">
        <v>0.05</v>
      </c>
      <c r="G104" s="64">
        <v>5.3999999999999999E-2</v>
      </c>
      <c r="H104" s="29">
        <v>0.05</v>
      </c>
      <c r="I104" s="17">
        <v>5.7000000000000002E-2</v>
      </c>
      <c r="J104" s="29">
        <v>0.05</v>
      </c>
      <c r="K104" s="29">
        <v>0.05</v>
      </c>
      <c r="L104" s="15">
        <v>4.8000000000000001E-2</v>
      </c>
      <c r="M104" s="15">
        <v>4.8000000000000001E-2</v>
      </c>
      <c r="N104" s="15">
        <v>4.8000000000000001E-2</v>
      </c>
      <c r="O104" s="18" t="s">
        <v>38</v>
      </c>
    </row>
    <row r="105" spans="2:15" x14ac:dyDescent="0.2">
      <c r="B105" s="133"/>
      <c r="C105" s="21">
        <v>4.2999999999999997E-2</v>
      </c>
      <c r="D105" s="24">
        <v>4.8000000000000001E-2</v>
      </c>
      <c r="E105" s="26">
        <v>4.4999999999999998E-2</v>
      </c>
      <c r="F105" s="26">
        <v>4.3999999999999997E-2</v>
      </c>
      <c r="G105" s="23">
        <v>4.8000000000000001E-2</v>
      </c>
      <c r="H105" s="26">
        <v>4.4999999999999998E-2</v>
      </c>
      <c r="I105" s="22">
        <v>0.05</v>
      </c>
      <c r="J105" s="26">
        <v>4.4999999999999998E-2</v>
      </c>
      <c r="K105" s="26">
        <v>4.4999999999999998E-2</v>
      </c>
      <c r="L105" s="20">
        <v>4.3999999999999997E-2</v>
      </c>
      <c r="M105" s="21">
        <v>4.2999999999999997E-2</v>
      </c>
      <c r="N105" s="21">
        <v>4.2999999999999997E-2</v>
      </c>
      <c r="O105" s="18" t="s">
        <v>39</v>
      </c>
    </row>
    <row r="106" spans="2:15" x14ac:dyDescent="0.2">
      <c r="B106" s="133"/>
      <c r="C106" s="20">
        <v>2.7E-2</v>
      </c>
      <c r="D106" s="20">
        <v>2.7E-2</v>
      </c>
      <c r="E106" s="26">
        <v>3.2000000000000001E-2</v>
      </c>
      <c r="F106" s="25">
        <v>3.4000000000000002E-2</v>
      </c>
      <c r="G106" s="25">
        <v>3.4000000000000002E-2</v>
      </c>
      <c r="H106" s="20">
        <v>2.9000000000000001E-2</v>
      </c>
      <c r="I106" s="25">
        <v>3.5999999999999997E-2</v>
      </c>
      <c r="J106" s="20">
        <v>2.9000000000000001E-2</v>
      </c>
      <c r="K106" s="20">
        <v>2.9000000000000001E-2</v>
      </c>
      <c r="L106" s="21">
        <v>2.5999999999999999E-2</v>
      </c>
      <c r="M106" s="20">
        <v>2.8000000000000001E-2</v>
      </c>
      <c r="N106" s="20">
        <v>2.9000000000000001E-2</v>
      </c>
      <c r="O106" s="18" t="s">
        <v>40</v>
      </c>
    </row>
    <row r="107" spans="2:15" x14ac:dyDescent="0.2">
      <c r="B107" s="133"/>
      <c r="C107" s="19">
        <v>4.3999999999999997E-2</v>
      </c>
      <c r="D107" s="19">
        <v>9.4E-2</v>
      </c>
      <c r="E107" s="25">
        <v>0.51</v>
      </c>
      <c r="F107" s="19">
        <v>0.126</v>
      </c>
      <c r="G107" s="24">
        <v>0.66</v>
      </c>
      <c r="H107" s="19">
        <v>0.1</v>
      </c>
      <c r="I107" s="20">
        <v>0.312</v>
      </c>
      <c r="J107" s="19">
        <v>8.8999999999999996E-2</v>
      </c>
      <c r="K107" s="21">
        <v>0.23400000000000001</v>
      </c>
      <c r="L107" s="19">
        <v>7.0000000000000007E-2</v>
      </c>
      <c r="M107" s="21">
        <v>0.189</v>
      </c>
      <c r="N107" s="19">
        <v>4.2000000000000003E-2</v>
      </c>
      <c r="O107" s="18">
        <v>570</v>
      </c>
    </row>
    <row r="108" spans="2:15" x14ac:dyDescent="0.2">
      <c r="B108" s="134"/>
      <c r="C108" s="27">
        <v>1.6539999999999999</v>
      </c>
      <c r="D108" s="27">
        <v>3.54</v>
      </c>
      <c r="E108" s="27">
        <v>16.096</v>
      </c>
      <c r="F108" s="27">
        <v>3.718</v>
      </c>
      <c r="G108" s="27">
        <v>19.489999999999998</v>
      </c>
      <c r="H108" s="27">
        <v>3.4750000000000001</v>
      </c>
      <c r="I108" s="27">
        <v>8.7810000000000006</v>
      </c>
      <c r="J108" s="27">
        <v>3.0950000000000002</v>
      </c>
      <c r="K108" s="27">
        <v>8.1170000000000009</v>
      </c>
      <c r="L108" s="27">
        <v>2.7229999999999999</v>
      </c>
      <c r="M108" s="27">
        <v>6.6639999999999997</v>
      </c>
      <c r="N108" s="27">
        <v>1.4259999999999999</v>
      </c>
      <c r="O108" s="18" t="s">
        <v>41</v>
      </c>
    </row>
    <row r="109" spans="2:15" x14ac:dyDescent="0.2">
      <c r="B109" s="132" t="s">
        <v>5</v>
      </c>
      <c r="C109" s="35">
        <v>5.8000000000000003E-2</v>
      </c>
      <c r="D109" s="35">
        <v>5.8000000000000003E-2</v>
      </c>
      <c r="E109" s="35">
        <v>5.8000000000000003E-2</v>
      </c>
      <c r="F109" s="35">
        <v>5.8000000000000003E-2</v>
      </c>
      <c r="G109" s="29">
        <v>5.0999999999999997E-2</v>
      </c>
      <c r="H109" s="17">
        <v>5.7000000000000002E-2</v>
      </c>
      <c r="I109" s="29">
        <v>0.05</v>
      </c>
      <c r="J109" s="29">
        <v>0.05</v>
      </c>
      <c r="K109" s="34">
        <v>5.2999999999999999E-2</v>
      </c>
      <c r="L109" s="65">
        <v>5.6000000000000001E-2</v>
      </c>
      <c r="M109" s="29">
        <v>0.05</v>
      </c>
      <c r="N109" s="28">
        <v>4.9000000000000002E-2</v>
      </c>
      <c r="O109" s="18" t="s">
        <v>38</v>
      </c>
    </row>
    <row r="110" spans="2:15" x14ac:dyDescent="0.2">
      <c r="B110" s="133"/>
      <c r="C110" s="36">
        <v>5.1999999999999998E-2</v>
      </c>
      <c r="D110" s="32">
        <v>5.3999999999999999E-2</v>
      </c>
      <c r="E110" s="36">
        <v>5.1999999999999998E-2</v>
      </c>
      <c r="F110" s="36">
        <v>5.1999999999999998E-2</v>
      </c>
      <c r="G110" s="26">
        <v>4.4999999999999998E-2</v>
      </c>
      <c r="H110" s="39">
        <v>5.1999999999999998E-2</v>
      </c>
      <c r="I110" s="26">
        <v>4.4999999999999998E-2</v>
      </c>
      <c r="J110" s="26">
        <v>4.4999999999999998E-2</v>
      </c>
      <c r="K110" s="23">
        <v>4.7E-2</v>
      </c>
      <c r="L110" s="22">
        <v>5.0999999999999997E-2</v>
      </c>
      <c r="M110" s="20">
        <v>4.3999999999999997E-2</v>
      </c>
      <c r="N110" s="20">
        <v>4.2999999999999997E-2</v>
      </c>
      <c r="O110" s="18" t="s">
        <v>39</v>
      </c>
    </row>
    <row r="111" spans="2:15" x14ac:dyDescent="0.2">
      <c r="B111" s="133"/>
      <c r="C111" s="26">
        <v>3.1E-2</v>
      </c>
      <c r="D111" s="21">
        <v>2.3E-2</v>
      </c>
      <c r="E111" s="25">
        <v>3.3000000000000002E-2</v>
      </c>
      <c r="F111" s="26">
        <v>3.3000000000000002E-2</v>
      </c>
      <c r="G111" s="26">
        <v>3.1E-2</v>
      </c>
      <c r="H111" s="20">
        <v>2.8000000000000001E-2</v>
      </c>
      <c r="I111" s="20">
        <v>2.7E-2</v>
      </c>
      <c r="J111" s="26">
        <v>3.1E-2</v>
      </c>
      <c r="K111" s="26">
        <v>3.1E-2</v>
      </c>
      <c r="L111" s="20">
        <v>2.8000000000000001E-2</v>
      </c>
      <c r="M111" s="25">
        <v>3.4000000000000002E-2</v>
      </c>
      <c r="N111" s="20">
        <v>2.8000000000000001E-2</v>
      </c>
      <c r="O111" s="18" t="s">
        <v>40</v>
      </c>
    </row>
    <row r="112" spans="2:15" x14ac:dyDescent="0.2">
      <c r="B112" s="133"/>
      <c r="C112" s="19">
        <v>5.3999999999999999E-2</v>
      </c>
      <c r="D112" s="32">
        <v>1.119</v>
      </c>
      <c r="E112" s="24">
        <v>0.67800000000000005</v>
      </c>
      <c r="F112" s="31">
        <v>0.79500000000000004</v>
      </c>
      <c r="G112" s="25">
        <v>0.47699999999999998</v>
      </c>
      <c r="H112" s="30">
        <v>1.24</v>
      </c>
      <c r="I112" s="39">
        <v>0.97399999999999998</v>
      </c>
      <c r="J112" s="19">
        <v>0.06</v>
      </c>
      <c r="K112" s="23">
        <v>0.60799999999999998</v>
      </c>
      <c r="L112" s="32">
        <v>1.1419999999999999</v>
      </c>
      <c r="M112" s="20">
        <v>0.311</v>
      </c>
      <c r="N112" s="19">
        <v>4.2999999999999997E-2</v>
      </c>
      <c r="O112" s="18">
        <v>570</v>
      </c>
    </row>
    <row r="113" spans="2:15" x14ac:dyDescent="0.2">
      <c r="B113" s="134"/>
      <c r="C113" s="27">
        <v>1.7609999999999999</v>
      </c>
      <c r="D113" s="27">
        <v>47.966000000000001</v>
      </c>
      <c r="E113" s="27">
        <v>20.346</v>
      </c>
      <c r="F113" s="27">
        <v>24.268999999999998</v>
      </c>
      <c r="G113" s="27">
        <v>15.329000000000001</v>
      </c>
      <c r="H113" s="27">
        <v>44.658000000000001</v>
      </c>
      <c r="I113" s="27">
        <v>35.761000000000003</v>
      </c>
      <c r="J113" s="27">
        <v>1.98</v>
      </c>
      <c r="K113" s="27">
        <v>19.891999999999999</v>
      </c>
      <c r="L113" s="27">
        <v>40.313000000000002</v>
      </c>
      <c r="M113" s="27">
        <v>9.1769999999999996</v>
      </c>
      <c r="N113" s="27">
        <v>1.514</v>
      </c>
      <c r="O113" s="18" t="s">
        <v>41</v>
      </c>
    </row>
    <row r="114" spans="2:15" x14ac:dyDescent="0.2">
      <c r="B114" s="132" t="s">
        <v>6</v>
      </c>
      <c r="C114" s="15">
        <v>4.7E-2</v>
      </c>
      <c r="D114" s="29">
        <v>0.05</v>
      </c>
      <c r="E114" s="34">
        <v>5.1999999999999998E-2</v>
      </c>
      <c r="F114" s="29">
        <v>0.05</v>
      </c>
      <c r="G114" s="33">
        <v>5.1999999999999998E-2</v>
      </c>
      <c r="H114" s="28">
        <v>4.9000000000000002E-2</v>
      </c>
      <c r="I114" s="34">
        <v>5.2999999999999999E-2</v>
      </c>
      <c r="J114" s="34">
        <v>5.2999999999999999E-2</v>
      </c>
      <c r="K114" s="34">
        <v>5.2999999999999999E-2</v>
      </c>
      <c r="L114" s="33">
        <v>5.0999999999999997E-2</v>
      </c>
      <c r="M114" s="33">
        <v>5.1999999999999998E-2</v>
      </c>
      <c r="N114" s="28">
        <v>4.9000000000000002E-2</v>
      </c>
      <c r="O114" s="18" t="s">
        <v>38</v>
      </c>
    </row>
    <row r="115" spans="2:15" x14ac:dyDescent="0.2">
      <c r="B115" s="133"/>
      <c r="C115" s="20">
        <v>4.2999999999999997E-2</v>
      </c>
      <c r="D115" s="25">
        <v>4.5999999999999999E-2</v>
      </c>
      <c r="E115" s="23">
        <v>4.7E-2</v>
      </c>
      <c r="F115" s="20">
        <v>4.3999999999999997E-2</v>
      </c>
      <c r="G115" s="26">
        <v>4.4999999999999998E-2</v>
      </c>
      <c r="H115" s="26">
        <v>4.3999999999999997E-2</v>
      </c>
      <c r="I115" s="23">
        <v>4.8000000000000001E-2</v>
      </c>
      <c r="J115" s="23">
        <v>4.7E-2</v>
      </c>
      <c r="K115" s="23">
        <v>4.7E-2</v>
      </c>
      <c r="L115" s="25">
        <v>4.4999999999999998E-2</v>
      </c>
      <c r="M115" s="25">
        <v>4.5999999999999999E-2</v>
      </c>
      <c r="N115" s="20">
        <v>4.3999999999999997E-2</v>
      </c>
      <c r="O115" s="18" t="s">
        <v>39</v>
      </c>
    </row>
    <row r="116" spans="2:15" x14ac:dyDescent="0.2">
      <c r="B116" s="133"/>
      <c r="C116" s="19">
        <v>2.1000000000000001E-2</v>
      </c>
      <c r="D116" s="21">
        <v>2.4E-2</v>
      </c>
      <c r="E116" s="26">
        <v>3.1E-2</v>
      </c>
      <c r="F116" s="25">
        <v>3.5999999999999997E-2</v>
      </c>
      <c r="G116" s="24">
        <v>4.1000000000000002E-2</v>
      </c>
      <c r="H116" s="20">
        <v>2.7E-2</v>
      </c>
      <c r="I116" s="20">
        <v>2.9000000000000001E-2</v>
      </c>
      <c r="J116" s="25">
        <v>3.4000000000000002E-2</v>
      </c>
      <c r="K116" s="25">
        <v>3.3000000000000002E-2</v>
      </c>
      <c r="L116" s="26">
        <v>3.2000000000000001E-2</v>
      </c>
      <c r="M116" s="26">
        <v>3.2000000000000001E-2</v>
      </c>
      <c r="N116" s="26">
        <v>3.2000000000000001E-2</v>
      </c>
      <c r="O116" s="18" t="s">
        <v>40</v>
      </c>
    </row>
    <row r="117" spans="2:15" x14ac:dyDescent="0.2">
      <c r="B117" s="133"/>
      <c r="C117" s="19">
        <v>4.4999999999999998E-2</v>
      </c>
      <c r="D117" s="19">
        <v>9.0999999999999998E-2</v>
      </c>
      <c r="E117" s="25">
        <v>0.52</v>
      </c>
      <c r="F117" s="31">
        <v>0.80100000000000005</v>
      </c>
      <c r="G117" s="24">
        <v>0.70299999999999996</v>
      </c>
      <c r="H117" s="19">
        <v>0.08</v>
      </c>
      <c r="I117" s="36">
        <v>1.0229999999999999</v>
      </c>
      <c r="J117" s="19">
        <v>8.3000000000000004E-2</v>
      </c>
      <c r="K117" s="31">
        <v>0.751</v>
      </c>
      <c r="L117" s="19">
        <v>6.0999999999999999E-2</v>
      </c>
      <c r="M117" s="26">
        <v>0.39900000000000002</v>
      </c>
      <c r="N117" s="19">
        <v>4.2999999999999997E-2</v>
      </c>
      <c r="O117" s="18">
        <v>570</v>
      </c>
    </row>
    <row r="118" spans="2:15" x14ac:dyDescent="0.2">
      <c r="B118" s="134"/>
      <c r="C118" s="27">
        <v>2.1459999999999999</v>
      </c>
      <c r="D118" s="27">
        <v>3.8130000000000002</v>
      </c>
      <c r="E118" s="27">
        <v>16.701000000000001</v>
      </c>
      <c r="F118" s="27">
        <v>22.52</v>
      </c>
      <c r="G118" s="27">
        <v>17.324000000000002</v>
      </c>
      <c r="H118" s="27">
        <v>2.9929999999999999</v>
      </c>
      <c r="I118" s="27">
        <v>35.398000000000003</v>
      </c>
      <c r="J118" s="27">
        <v>2.4550000000000001</v>
      </c>
      <c r="K118" s="27">
        <v>22.527000000000001</v>
      </c>
      <c r="L118" s="27">
        <v>1.909</v>
      </c>
      <c r="M118" s="27">
        <v>12.37</v>
      </c>
      <c r="N118" s="27">
        <v>1.3580000000000001</v>
      </c>
      <c r="O118" s="18" t="s">
        <v>41</v>
      </c>
    </row>
    <row r="119" spans="2:15" x14ac:dyDescent="0.2">
      <c r="B119" s="132" t="s">
        <v>7</v>
      </c>
      <c r="C119" s="28">
        <v>4.9000000000000002E-2</v>
      </c>
      <c r="D119" s="64">
        <v>5.3999999999999999E-2</v>
      </c>
      <c r="E119" s="34">
        <v>5.2999999999999999E-2</v>
      </c>
      <c r="F119" s="34">
        <v>5.2999999999999999E-2</v>
      </c>
      <c r="G119" s="34">
        <v>5.2999999999999999E-2</v>
      </c>
      <c r="H119" s="35">
        <v>5.8999999999999997E-2</v>
      </c>
      <c r="I119" s="33">
        <v>5.0999999999999997E-2</v>
      </c>
      <c r="J119" s="35">
        <v>5.8000000000000003E-2</v>
      </c>
      <c r="K119" s="33">
        <v>5.0999999999999997E-2</v>
      </c>
      <c r="L119" s="38">
        <v>6.2E-2</v>
      </c>
      <c r="M119" s="68">
        <v>5.8999999999999997E-2</v>
      </c>
      <c r="N119" s="33">
        <v>5.0999999999999997E-2</v>
      </c>
      <c r="O119" s="18" t="s">
        <v>38</v>
      </c>
    </row>
    <row r="120" spans="2:15" x14ac:dyDescent="0.2">
      <c r="B120" s="133"/>
      <c r="C120" s="26">
        <v>4.4999999999999998E-2</v>
      </c>
      <c r="D120" s="22">
        <v>0.05</v>
      </c>
      <c r="E120" s="24">
        <v>4.8000000000000001E-2</v>
      </c>
      <c r="F120" s="25">
        <v>4.5999999999999999E-2</v>
      </c>
      <c r="G120" s="23">
        <v>4.5999999999999999E-2</v>
      </c>
      <c r="H120" s="32">
        <v>5.2999999999999999E-2</v>
      </c>
      <c r="I120" s="25">
        <v>4.5999999999999999E-2</v>
      </c>
      <c r="J120" s="25">
        <v>4.5999999999999999E-2</v>
      </c>
      <c r="K120" s="25">
        <v>4.4999999999999998E-2</v>
      </c>
      <c r="L120" s="37">
        <v>5.7000000000000002E-2</v>
      </c>
      <c r="M120" s="32">
        <v>5.3999999999999999E-2</v>
      </c>
      <c r="N120" s="26">
        <v>4.3999999999999997E-2</v>
      </c>
      <c r="O120" s="18" t="s">
        <v>39</v>
      </c>
    </row>
    <row r="121" spans="2:15" x14ac:dyDescent="0.2">
      <c r="B121" s="133"/>
      <c r="C121" s="19">
        <v>2.1000000000000001E-2</v>
      </c>
      <c r="D121" s="19">
        <v>0.02</v>
      </c>
      <c r="E121" s="21">
        <v>2.5999999999999999E-2</v>
      </c>
      <c r="F121" s="23">
        <v>3.7999999999999999E-2</v>
      </c>
      <c r="G121" s="25">
        <v>3.5999999999999997E-2</v>
      </c>
      <c r="H121" s="20">
        <v>2.8000000000000001E-2</v>
      </c>
      <c r="I121" s="26">
        <v>3.3000000000000002E-2</v>
      </c>
      <c r="J121" s="37">
        <v>6.5000000000000002E-2</v>
      </c>
      <c r="K121" s="26">
        <v>3.2000000000000001E-2</v>
      </c>
      <c r="L121" s="26">
        <v>3.1E-2</v>
      </c>
      <c r="M121" s="20">
        <v>2.8000000000000001E-2</v>
      </c>
      <c r="N121" s="23">
        <v>3.7999999999999999E-2</v>
      </c>
      <c r="O121" s="18" t="s">
        <v>40</v>
      </c>
    </row>
    <row r="122" spans="2:15" x14ac:dyDescent="0.2">
      <c r="B122" s="133"/>
      <c r="C122" s="19">
        <v>4.7E-2</v>
      </c>
      <c r="D122" s="32">
        <v>1.1830000000000001</v>
      </c>
      <c r="E122" s="19">
        <v>7.4999999999999997E-2</v>
      </c>
      <c r="F122" s="24">
        <v>0.63700000000000001</v>
      </c>
      <c r="G122" s="25">
        <v>0.45100000000000001</v>
      </c>
      <c r="H122" s="37">
        <v>1.389</v>
      </c>
      <c r="I122" s="36">
        <v>1.0389999999999999</v>
      </c>
      <c r="J122" s="26">
        <v>0.36799999999999999</v>
      </c>
      <c r="K122" s="24">
        <v>0.66300000000000003</v>
      </c>
      <c r="L122" s="37">
        <v>1.3149999999999999</v>
      </c>
      <c r="M122" s="31">
        <v>0.78100000000000003</v>
      </c>
      <c r="N122" s="19">
        <v>4.5999999999999999E-2</v>
      </c>
      <c r="O122" s="18">
        <v>570</v>
      </c>
    </row>
    <row r="123" spans="2:15" x14ac:dyDescent="0.2">
      <c r="B123" s="134"/>
      <c r="C123" s="27">
        <v>2.2410000000000001</v>
      </c>
      <c r="D123" s="27">
        <v>59.145000000000003</v>
      </c>
      <c r="E123" s="27">
        <v>2.8570000000000002</v>
      </c>
      <c r="F123" s="27">
        <v>16.864000000000001</v>
      </c>
      <c r="G123" s="27">
        <v>12.682</v>
      </c>
      <c r="H123" s="27">
        <v>49.040999999999997</v>
      </c>
      <c r="I123" s="27">
        <v>31.707000000000001</v>
      </c>
      <c r="J123" s="27">
        <v>5.6660000000000004</v>
      </c>
      <c r="K123" s="27">
        <v>20.588000000000001</v>
      </c>
      <c r="L123" s="27">
        <v>43.033000000000001</v>
      </c>
      <c r="M123" s="27">
        <v>27.579000000000001</v>
      </c>
      <c r="N123" s="27">
        <v>1.19</v>
      </c>
      <c r="O123" s="18" t="s">
        <v>41</v>
      </c>
    </row>
    <row r="124" spans="2:15" x14ac:dyDescent="0.2">
      <c r="B124" s="132" t="s">
        <v>8</v>
      </c>
      <c r="C124" s="15">
        <v>4.7E-2</v>
      </c>
      <c r="D124" s="14">
        <v>4.5999999999999999E-2</v>
      </c>
      <c r="E124" s="15">
        <v>4.8000000000000001E-2</v>
      </c>
      <c r="F124" s="29">
        <v>5.0999999999999997E-2</v>
      </c>
      <c r="G124" s="17">
        <v>5.6000000000000001E-2</v>
      </c>
      <c r="H124" s="29">
        <v>0.05</v>
      </c>
      <c r="I124" s="33">
        <v>5.0999999999999997E-2</v>
      </c>
      <c r="J124" s="28">
        <v>0.05</v>
      </c>
      <c r="K124" s="29">
        <v>5.0999999999999997E-2</v>
      </c>
      <c r="L124" s="28">
        <v>4.9000000000000002E-2</v>
      </c>
      <c r="M124" s="33">
        <v>5.0999999999999997E-2</v>
      </c>
      <c r="N124" s="15">
        <v>4.8000000000000001E-2</v>
      </c>
      <c r="O124" s="18" t="s">
        <v>38</v>
      </c>
    </row>
    <row r="125" spans="2:15" x14ac:dyDescent="0.2">
      <c r="B125" s="133"/>
      <c r="C125" s="21">
        <v>4.2999999999999997E-2</v>
      </c>
      <c r="D125" s="21">
        <v>4.2000000000000003E-2</v>
      </c>
      <c r="E125" s="20">
        <v>4.2999999999999997E-2</v>
      </c>
      <c r="F125" s="25">
        <v>4.5999999999999999E-2</v>
      </c>
      <c r="G125" s="22">
        <v>5.0999999999999997E-2</v>
      </c>
      <c r="H125" s="26">
        <v>4.3999999999999997E-2</v>
      </c>
      <c r="I125" s="25">
        <v>4.5999999999999999E-2</v>
      </c>
      <c r="J125" s="26">
        <v>4.4999999999999998E-2</v>
      </c>
      <c r="K125" s="25">
        <v>4.5999999999999999E-2</v>
      </c>
      <c r="L125" s="20">
        <v>4.3999999999999997E-2</v>
      </c>
      <c r="M125" s="25">
        <v>4.5999999999999999E-2</v>
      </c>
      <c r="N125" s="21">
        <v>4.2999999999999997E-2</v>
      </c>
      <c r="O125" s="18" t="s">
        <v>39</v>
      </c>
    </row>
    <row r="126" spans="2:15" x14ac:dyDescent="0.2">
      <c r="B126" s="133"/>
      <c r="C126" s="21">
        <v>2.4E-2</v>
      </c>
      <c r="D126" s="19">
        <v>0.02</v>
      </c>
      <c r="E126" s="21">
        <v>2.5999999999999999E-2</v>
      </c>
      <c r="F126" s="20">
        <v>2.7E-2</v>
      </c>
      <c r="G126" s="20">
        <v>2.9000000000000001E-2</v>
      </c>
      <c r="H126" s="26">
        <v>3.2000000000000001E-2</v>
      </c>
      <c r="I126" s="26">
        <v>3.2000000000000001E-2</v>
      </c>
      <c r="J126" s="21">
        <v>2.5999999999999999E-2</v>
      </c>
      <c r="K126" s="21">
        <v>2.5000000000000001E-2</v>
      </c>
      <c r="L126" s="20">
        <v>2.9000000000000001E-2</v>
      </c>
      <c r="M126" s="26">
        <v>3.1E-2</v>
      </c>
      <c r="N126" s="20">
        <v>2.8000000000000001E-2</v>
      </c>
      <c r="O126" s="18" t="s">
        <v>40</v>
      </c>
    </row>
    <row r="127" spans="2:15" x14ac:dyDescent="0.2">
      <c r="B127" s="133"/>
      <c r="C127" s="19">
        <v>4.2999999999999997E-2</v>
      </c>
      <c r="D127" s="19">
        <v>7.9000000000000001E-2</v>
      </c>
      <c r="E127" s="19">
        <v>8.3000000000000004E-2</v>
      </c>
      <c r="F127" s="39">
        <v>0.98199999999999998</v>
      </c>
      <c r="G127" s="25">
        <v>0.48699999999999999</v>
      </c>
      <c r="H127" s="19">
        <v>6.2E-2</v>
      </c>
      <c r="I127" s="39">
        <v>0.97499999999999998</v>
      </c>
      <c r="J127" s="23">
        <v>0.54400000000000004</v>
      </c>
      <c r="K127" s="31">
        <v>0.73399999999999999</v>
      </c>
      <c r="L127" s="19">
        <v>6.2E-2</v>
      </c>
      <c r="M127" s="31">
        <v>0.76600000000000001</v>
      </c>
      <c r="N127" s="19">
        <v>4.2000000000000003E-2</v>
      </c>
      <c r="O127" s="18">
        <v>570</v>
      </c>
    </row>
    <row r="128" spans="2:15" x14ac:dyDescent="0.2">
      <c r="B128" s="134"/>
      <c r="C128" s="27">
        <v>1.7669999999999999</v>
      </c>
      <c r="D128" s="27">
        <v>3.93</v>
      </c>
      <c r="E128" s="27">
        <v>3.1859999999999999</v>
      </c>
      <c r="F128" s="27">
        <v>36.088000000000001</v>
      </c>
      <c r="G128" s="27">
        <v>16.553000000000001</v>
      </c>
      <c r="H128" s="27">
        <v>1.948</v>
      </c>
      <c r="I128" s="27">
        <v>30.245999999999999</v>
      </c>
      <c r="J128" s="27">
        <v>20.838000000000001</v>
      </c>
      <c r="K128" s="27">
        <v>29.347999999999999</v>
      </c>
      <c r="L128" s="27">
        <v>2.16</v>
      </c>
      <c r="M128" s="27">
        <v>25.071999999999999</v>
      </c>
      <c r="N128" s="27">
        <v>1.4890000000000001</v>
      </c>
      <c r="O128" s="18" t="s">
        <v>41</v>
      </c>
    </row>
    <row r="129" spans="1:15" x14ac:dyDescent="0.2">
      <c r="B129" s="132" t="s">
        <v>9</v>
      </c>
      <c r="C129" s="16">
        <v>4.4999999999999998E-2</v>
      </c>
      <c r="D129" s="34">
        <v>5.2999999999999999E-2</v>
      </c>
      <c r="E129" s="14">
        <v>4.7E-2</v>
      </c>
      <c r="F129" s="28">
        <v>4.9000000000000002E-2</v>
      </c>
      <c r="G129" s="29">
        <v>0.05</v>
      </c>
      <c r="H129" s="33">
        <v>5.0999999999999997E-2</v>
      </c>
      <c r="I129" s="28">
        <v>0.05</v>
      </c>
      <c r="J129" s="28">
        <v>4.9000000000000002E-2</v>
      </c>
      <c r="K129" s="29">
        <v>0.05</v>
      </c>
      <c r="L129" s="33">
        <v>5.0999999999999997E-2</v>
      </c>
      <c r="M129" s="28">
        <v>0.05</v>
      </c>
      <c r="N129" s="33">
        <v>5.1999999999999998E-2</v>
      </c>
      <c r="O129" s="18" t="s">
        <v>38</v>
      </c>
    </row>
    <row r="130" spans="1:15" x14ac:dyDescent="0.2">
      <c r="B130" s="133"/>
      <c r="C130" s="19">
        <v>4.1000000000000002E-2</v>
      </c>
      <c r="D130" s="24">
        <v>4.9000000000000002E-2</v>
      </c>
      <c r="E130" s="21">
        <v>4.2999999999999997E-2</v>
      </c>
      <c r="F130" s="20">
        <v>4.3999999999999997E-2</v>
      </c>
      <c r="G130" s="26">
        <v>4.3999999999999997E-2</v>
      </c>
      <c r="H130" s="26">
        <v>4.4999999999999998E-2</v>
      </c>
      <c r="I130" s="20">
        <v>4.3999999999999997E-2</v>
      </c>
      <c r="J130" s="20">
        <v>4.2999999999999997E-2</v>
      </c>
      <c r="K130" s="20">
        <v>4.3999999999999997E-2</v>
      </c>
      <c r="L130" s="25">
        <v>4.4999999999999998E-2</v>
      </c>
      <c r="M130" s="20">
        <v>4.3999999999999997E-2</v>
      </c>
      <c r="N130" s="23">
        <v>4.7E-2</v>
      </c>
      <c r="O130" s="18" t="s">
        <v>39</v>
      </c>
    </row>
    <row r="131" spans="1:15" x14ac:dyDescent="0.2">
      <c r="B131" s="133"/>
      <c r="C131" s="19">
        <v>2.1999999999999999E-2</v>
      </c>
      <c r="D131" s="21">
        <v>2.5999999999999999E-2</v>
      </c>
      <c r="E131" s="21">
        <v>2.4E-2</v>
      </c>
      <c r="F131" s="20">
        <v>2.9000000000000001E-2</v>
      </c>
      <c r="G131" s="26">
        <v>3.1E-2</v>
      </c>
      <c r="H131" s="26">
        <v>3.3000000000000002E-2</v>
      </c>
      <c r="I131" s="25">
        <v>3.3000000000000002E-2</v>
      </c>
      <c r="J131" s="26">
        <v>3.2000000000000001E-2</v>
      </c>
      <c r="K131" s="25">
        <v>3.4000000000000002E-2</v>
      </c>
      <c r="L131" s="26">
        <v>3.1E-2</v>
      </c>
      <c r="M131" s="26">
        <v>3.3000000000000002E-2</v>
      </c>
      <c r="N131" s="26">
        <v>3.1E-2</v>
      </c>
      <c r="O131" s="18" t="s">
        <v>40</v>
      </c>
    </row>
    <row r="132" spans="1:15" x14ac:dyDescent="0.2">
      <c r="B132" s="133"/>
      <c r="C132" s="19">
        <v>4.2000000000000003E-2</v>
      </c>
      <c r="D132" s="19">
        <v>0.05</v>
      </c>
      <c r="E132" s="19">
        <v>4.3999999999999997E-2</v>
      </c>
      <c r="F132" s="19">
        <v>4.2999999999999997E-2</v>
      </c>
      <c r="G132" s="19">
        <v>4.3999999999999997E-2</v>
      </c>
      <c r="H132" s="19">
        <v>4.5999999999999999E-2</v>
      </c>
      <c r="I132" s="19">
        <v>4.3999999999999997E-2</v>
      </c>
      <c r="J132" s="19">
        <v>4.2000000000000003E-2</v>
      </c>
      <c r="K132" s="19">
        <v>4.2999999999999997E-2</v>
      </c>
      <c r="L132" s="19">
        <v>4.4999999999999998E-2</v>
      </c>
      <c r="M132" s="19">
        <v>4.2999999999999997E-2</v>
      </c>
      <c r="N132" s="19">
        <v>4.5999999999999999E-2</v>
      </c>
      <c r="O132" s="18">
        <v>570</v>
      </c>
    </row>
    <row r="133" spans="1:15" x14ac:dyDescent="0.2">
      <c r="B133" s="134"/>
      <c r="C133" s="27">
        <v>1.899</v>
      </c>
      <c r="D133" s="27">
        <v>1.9</v>
      </c>
      <c r="E133" s="27">
        <v>1.85</v>
      </c>
      <c r="F133" s="27">
        <v>1.506</v>
      </c>
      <c r="G133" s="27">
        <v>1.4239999999999999</v>
      </c>
      <c r="H133" s="27">
        <v>1.3939999999999999</v>
      </c>
      <c r="I133" s="27">
        <v>1.3140000000000001</v>
      </c>
      <c r="J133" s="27">
        <v>1.3129999999999999</v>
      </c>
      <c r="K133" s="27">
        <v>1.2629999999999999</v>
      </c>
      <c r="L133" s="27">
        <v>1.4790000000000001</v>
      </c>
      <c r="M133" s="27">
        <v>1.327</v>
      </c>
      <c r="N133" s="27">
        <v>1.522</v>
      </c>
      <c r="O133" s="18" t="s">
        <v>41</v>
      </c>
    </row>
    <row r="136" spans="1:15" x14ac:dyDescent="0.2">
      <c r="A136" t="s">
        <v>10</v>
      </c>
      <c r="B136" t="s">
        <v>11</v>
      </c>
      <c r="D136" s="7" t="s">
        <v>86</v>
      </c>
      <c r="E136" s="40">
        <v>45385</v>
      </c>
      <c r="F136" s="7" t="s">
        <v>16</v>
      </c>
    </row>
    <row r="138" spans="1:15" x14ac:dyDescent="0.2">
      <c r="A138" t="s">
        <v>12</v>
      </c>
    </row>
    <row r="139" spans="1:15" x14ac:dyDescent="0.2">
      <c r="A139" t="s">
        <v>13</v>
      </c>
      <c r="B139" t="s">
        <v>14</v>
      </c>
    </row>
    <row r="140" spans="1:15" x14ac:dyDescent="0.2">
      <c r="A140" t="s">
        <v>15</v>
      </c>
      <c r="B140" t="s">
        <v>16</v>
      </c>
    </row>
    <row r="141" spans="1:15" x14ac:dyDescent="0.2">
      <c r="A141" t="s">
        <v>17</v>
      </c>
      <c r="B141" s="8">
        <v>45385</v>
      </c>
    </row>
    <row r="142" spans="1:15" x14ac:dyDescent="0.2">
      <c r="A142" t="s">
        <v>18</v>
      </c>
      <c r="B142" s="9">
        <v>0.62243055555555549</v>
      </c>
    </row>
    <row r="143" spans="1:15" x14ac:dyDescent="0.2">
      <c r="A143" t="s">
        <v>19</v>
      </c>
      <c r="B143" t="s">
        <v>20</v>
      </c>
    </row>
    <row r="144" spans="1:15" x14ac:dyDescent="0.2">
      <c r="A144" t="s">
        <v>21</v>
      </c>
      <c r="B144" t="s">
        <v>22</v>
      </c>
    </row>
    <row r="145" spans="1:14" x14ac:dyDescent="0.2">
      <c r="A145" t="s">
        <v>23</v>
      </c>
      <c r="B145" t="s">
        <v>24</v>
      </c>
    </row>
    <row r="147" spans="1:14" x14ac:dyDescent="0.2">
      <c r="A147" s="10" t="s">
        <v>25</v>
      </c>
      <c r="B147" s="11"/>
    </row>
    <row r="148" spans="1:14" x14ac:dyDescent="0.2">
      <c r="A148" t="s">
        <v>26</v>
      </c>
      <c r="B148" t="s">
        <v>27</v>
      </c>
    </row>
    <row r="149" spans="1:14" x14ac:dyDescent="0.2">
      <c r="A149" t="s">
        <v>28</v>
      </c>
    </row>
    <row r="150" spans="1:14" x14ac:dyDescent="0.2">
      <c r="A150" t="s">
        <v>29</v>
      </c>
      <c r="B150" t="s">
        <v>30</v>
      </c>
    </row>
    <row r="151" spans="1:14" x14ac:dyDescent="0.2">
      <c r="B151" t="s">
        <v>31</v>
      </c>
    </row>
    <row r="152" spans="1:14" x14ac:dyDescent="0.2">
      <c r="B152" t="s">
        <v>32</v>
      </c>
    </row>
    <row r="153" spans="1:14" x14ac:dyDescent="0.2">
      <c r="B153" t="s">
        <v>33</v>
      </c>
    </row>
    <row r="154" spans="1:14" x14ac:dyDescent="0.2">
      <c r="B154" t="s">
        <v>34</v>
      </c>
    </row>
    <row r="155" spans="1:14" x14ac:dyDescent="0.2">
      <c r="B155" t="s">
        <v>35</v>
      </c>
    </row>
    <row r="157" spans="1:14" x14ac:dyDescent="0.2">
      <c r="A157" s="10" t="s">
        <v>36</v>
      </c>
      <c r="B157" s="11"/>
    </row>
    <row r="158" spans="1:14" x14ac:dyDescent="0.2">
      <c r="A158" t="s">
        <v>37</v>
      </c>
      <c r="B158">
        <v>20.100000000000001</v>
      </c>
    </row>
    <row r="160" spans="1:14" x14ac:dyDescent="0.2">
      <c r="B160" s="12"/>
      <c r="C160" s="13">
        <v>1</v>
      </c>
      <c r="D160" s="13">
        <v>2</v>
      </c>
      <c r="E160" s="13">
        <v>3</v>
      </c>
      <c r="F160" s="13">
        <v>4</v>
      </c>
      <c r="G160" s="13">
        <v>5</v>
      </c>
      <c r="H160" s="13">
        <v>6</v>
      </c>
      <c r="I160" s="13">
        <v>7</v>
      </c>
      <c r="J160" s="13">
        <v>8</v>
      </c>
      <c r="K160" s="13">
        <v>9</v>
      </c>
      <c r="L160" s="13">
        <v>10</v>
      </c>
      <c r="M160" s="13">
        <v>11</v>
      </c>
      <c r="N160" s="13">
        <v>12</v>
      </c>
    </row>
    <row r="161" spans="2:15" x14ac:dyDescent="0.2">
      <c r="B161" s="132" t="s">
        <v>0</v>
      </c>
      <c r="C161" s="15">
        <v>4.8000000000000001E-2</v>
      </c>
      <c r="D161" s="28">
        <v>4.9000000000000002E-2</v>
      </c>
      <c r="E161" s="29">
        <v>0.05</v>
      </c>
      <c r="F161" s="34">
        <v>5.1999999999999998E-2</v>
      </c>
      <c r="G161" s="28">
        <v>4.9000000000000002E-2</v>
      </c>
      <c r="H161" s="28">
        <v>4.9000000000000002E-2</v>
      </c>
      <c r="I161" s="15">
        <v>4.8000000000000001E-2</v>
      </c>
      <c r="J161" s="28">
        <v>4.8000000000000001E-2</v>
      </c>
      <c r="K161" s="15">
        <v>4.8000000000000001E-2</v>
      </c>
      <c r="L161" s="15">
        <v>4.7E-2</v>
      </c>
      <c r="M161" s="28">
        <v>4.9000000000000002E-2</v>
      </c>
      <c r="N161" s="28">
        <v>4.9000000000000002E-2</v>
      </c>
      <c r="O161" s="18" t="s">
        <v>38</v>
      </c>
    </row>
    <row r="162" spans="2:15" x14ac:dyDescent="0.2">
      <c r="B162" s="133"/>
      <c r="C162" s="21">
        <v>4.2000000000000003E-2</v>
      </c>
      <c r="D162" s="21">
        <v>4.2999999999999997E-2</v>
      </c>
      <c r="E162" s="20">
        <v>4.2999999999999997E-2</v>
      </c>
      <c r="F162" s="25">
        <v>4.5999999999999999E-2</v>
      </c>
      <c r="G162" s="21">
        <v>4.2999999999999997E-2</v>
      </c>
      <c r="H162" s="21">
        <v>4.2999999999999997E-2</v>
      </c>
      <c r="I162" s="21">
        <v>4.2999999999999997E-2</v>
      </c>
      <c r="J162" s="21">
        <v>4.2999999999999997E-2</v>
      </c>
      <c r="K162" s="21">
        <v>4.2000000000000003E-2</v>
      </c>
      <c r="L162" s="21">
        <v>4.2000000000000003E-2</v>
      </c>
      <c r="M162" s="20">
        <v>4.2999999999999997E-2</v>
      </c>
      <c r="N162" s="20">
        <v>4.3999999999999997E-2</v>
      </c>
      <c r="O162" s="18" t="s">
        <v>39</v>
      </c>
    </row>
    <row r="163" spans="2:15" x14ac:dyDescent="0.2">
      <c r="B163" s="133"/>
      <c r="C163" s="39">
        <v>3.3000000000000002E-2</v>
      </c>
      <c r="D163" s="32">
        <v>3.5000000000000003E-2</v>
      </c>
      <c r="E163" s="30">
        <v>3.6999999999999998E-2</v>
      </c>
      <c r="F163" s="32">
        <v>3.5999999999999997E-2</v>
      </c>
      <c r="G163" s="39">
        <v>3.3000000000000002E-2</v>
      </c>
      <c r="H163" s="39">
        <v>3.3000000000000002E-2</v>
      </c>
      <c r="I163" s="39">
        <v>3.2000000000000001E-2</v>
      </c>
      <c r="J163" s="39">
        <v>3.2000000000000001E-2</v>
      </c>
      <c r="K163" s="24">
        <v>2.9000000000000001E-2</v>
      </c>
      <c r="L163" s="23">
        <v>2.8000000000000001E-2</v>
      </c>
      <c r="M163" s="22">
        <v>3.2000000000000001E-2</v>
      </c>
      <c r="N163" s="24">
        <v>2.9000000000000001E-2</v>
      </c>
      <c r="O163" s="18" t="s">
        <v>40</v>
      </c>
    </row>
    <row r="164" spans="2:15" x14ac:dyDescent="0.2">
      <c r="B164" s="133"/>
      <c r="C164" s="19">
        <v>4.2999999999999997E-2</v>
      </c>
      <c r="D164" s="19">
        <v>4.3999999999999997E-2</v>
      </c>
      <c r="E164" s="19">
        <v>4.2999999999999997E-2</v>
      </c>
      <c r="F164" s="19">
        <v>4.5999999999999999E-2</v>
      </c>
      <c r="G164" s="19">
        <v>4.2000000000000003E-2</v>
      </c>
      <c r="H164" s="19">
        <v>4.2999999999999997E-2</v>
      </c>
      <c r="I164" s="19">
        <v>4.2000000000000003E-2</v>
      </c>
      <c r="J164" s="19">
        <v>4.1000000000000002E-2</v>
      </c>
      <c r="K164" s="19">
        <v>4.2000000000000003E-2</v>
      </c>
      <c r="L164" s="19">
        <v>4.2999999999999997E-2</v>
      </c>
      <c r="M164" s="19">
        <v>4.2000000000000003E-2</v>
      </c>
      <c r="N164" s="19">
        <v>4.2999999999999997E-2</v>
      </c>
      <c r="O164" s="18">
        <v>570</v>
      </c>
    </row>
    <row r="165" spans="2:15" x14ac:dyDescent="0.2">
      <c r="B165" s="134"/>
      <c r="C165" s="27">
        <v>1.3</v>
      </c>
      <c r="D165" s="27">
        <v>1.246</v>
      </c>
      <c r="E165" s="27">
        <v>1.1779999999999999</v>
      </c>
      <c r="F165" s="27">
        <v>1.282</v>
      </c>
      <c r="G165" s="27">
        <v>1.278</v>
      </c>
      <c r="H165" s="27">
        <v>1.321</v>
      </c>
      <c r="I165" s="27">
        <v>1.3069999999999999</v>
      </c>
      <c r="J165" s="27">
        <v>1.2849999999999999</v>
      </c>
      <c r="K165" s="27">
        <v>1.44</v>
      </c>
      <c r="L165" s="27">
        <v>1.5549999999999999</v>
      </c>
      <c r="M165" s="27">
        <v>1.339</v>
      </c>
      <c r="N165" s="27">
        <v>1.4750000000000001</v>
      </c>
      <c r="O165" s="18" t="s">
        <v>41</v>
      </c>
    </row>
    <row r="166" spans="2:15" x14ac:dyDescent="0.2">
      <c r="B166" s="132" t="s">
        <v>1</v>
      </c>
      <c r="C166" s="14">
        <v>4.5999999999999999E-2</v>
      </c>
      <c r="D166" s="33">
        <v>5.1999999999999998E-2</v>
      </c>
      <c r="E166" s="15">
        <v>4.8000000000000001E-2</v>
      </c>
      <c r="F166" s="28">
        <v>4.9000000000000002E-2</v>
      </c>
      <c r="G166" s="28">
        <v>4.9000000000000002E-2</v>
      </c>
      <c r="H166" s="64">
        <v>5.3999999999999999E-2</v>
      </c>
      <c r="I166" s="33">
        <v>5.1999999999999998E-2</v>
      </c>
      <c r="J166" s="15">
        <v>4.8000000000000001E-2</v>
      </c>
      <c r="K166" s="15">
        <v>4.8000000000000001E-2</v>
      </c>
      <c r="L166" s="34">
        <v>5.1999999999999998E-2</v>
      </c>
      <c r="M166" s="15">
        <v>4.8000000000000001E-2</v>
      </c>
      <c r="N166" s="15">
        <v>4.8000000000000001E-2</v>
      </c>
      <c r="O166" s="18" t="s">
        <v>38</v>
      </c>
    </row>
    <row r="167" spans="2:15" x14ac:dyDescent="0.2">
      <c r="B167" s="133"/>
      <c r="C167" s="19">
        <v>4.2000000000000003E-2</v>
      </c>
      <c r="D167" s="23">
        <v>4.7E-2</v>
      </c>
      <c r="E167" s="20">
        <v>4.2999999999999997E-2</v>
      </c>
      <c r="F167" s="26">
        <v>4.4999999999999998E-2</v>
      </c>
      <c r="G167" s="26">
        <v>4.4999999999999998E-2</v>
      </c>
      <c r="H167" s="23">
        <v>4.7E-2</v>
      </c>
      <c r="I167" s="25">
        <v>4.5999999999999999E-2</v>
      </c>
      <c r="J167" s="21">
        <v>4.2000000000000003E-2</v>
      </c>
      <c r="K167" s="21">
        <v>4.2999999999999997E-2</v>
      </c>
      <c r="L167" s="23">
        <v>4.8000000000000001E-2</v>
      </c>
      <c r="M167" s="21">
        <v>4.2999999999999997E-2</v>
      </c>
      <c r="N167" s="21">
        <v>4.2999999999999997E-2</v>
      </c>
      <c r="O167" s="18" t="s">
        <v>39</v>
      </c>
    </row>
    <row r="168" spans="2:15" x14ac:dyDescent="0.2">
      <c r="B168" s="133"/>
      <c r="C168" s="20">
        <v>2.3E-2</v>
      </c>
      <c r="D168" s="24">
        <v>2.8000000000000001E-2</v>
      </c>
      <c r="E168" s="25">
        <v>2.5999999999999999E-2</v>
      </c>
      <c r="F168" s="23">
        <v>2.7E-2</v>
      </c>
      <c r="G168" s="25">
        <v>2.5999999999999999E-2</v>
      </c>
      <c r="H168" s="37">
        <v>3.6999999999999998E-2</v>
      </c>
      <c r="I168" s="22">
        <v>3.2000000000000001E-2</v>
      </c>
      <c r="J168" s="22">
        <v>3.2000000000000001E-2</v>
      </c>
      <c r="K168" s="24">
        <v>2.9000000000000001E-2</v>
      </c>
      <c r="L168" s="26">
        <v>2.5000000000000001E-2</v>
      </c>
      <c r="M168" s="22">
        <v>3.1E-2</v>
      </c>
      <c r="N168" s="24">
        <v>2.9000000000000001E-2</v>
      </c>
      <c r="O168" s="18" t="s">
        <v>40</v>
      </c>
    </row>
    <row r="169" spans="2:15" x14ac:dyDescent="0.2">
      <c r="B169" s="133"/>
      <c r="C169" s="19">
        <v>4.2999999999999997E-2</v>
      </c>
      <c r="D169" s="30">
        <v>1.0840000000000001</v>
      </c>
      <c r="E169" s="26">
        <v>0.35399999999999998</v>
      </c>
      <c r="F169" s="19">
        <v>6.2E-2</v>
      </c>
      <c r="G169" s="25">
        <v>0.45100000000000001</v>
      </c>
      <c r="H169" s="37">
        <v>1.1579999999999999</v>
      </c>
      <c r="I169" s="25">
        <v>0.41099999999999998</v>
      </c>
      <c r="J169" s="19">
        <v>5.0999999999999997E-2</v>
      </c>
      <c r="K169" s="25">
        <v>0.435</v>
      </c>
      <c r="L169" s="30">
        <v>1.0569999999999999</v>
      </c>
      <c r="M169" s="19">
        <v>0.114</v>
      </c>
      <c r="N169" s="19">
        <v>4.2000000000000003E-2</v>
      </c>
      <c r="O169" s="18">
        <v>570</v>
      </c>
    </row>
    <row r="170" spans="2:15" x14ac:dyDescent="0.2">
      <c r="B170" s="134"/>
      <c r="C170" s="27">
        <v>1.86</v>
      </c>
      <c r="D170" s="27">
        <v>38.244999999999997</v>
      </c>
      <c r="E170" s="27">
        <v>13.55</v>
      </c>
      <c r="F170" s="27">
        <v>2.31</v>
      </c>
      <c r="G170" s="27">
        <v>17.632000000000001</v>
      </c>
      <c r="H170" s="27">
        <v>31.102</v>
      </c>
      <c r="I170" s="27">
        <v>12.976000000000001</v>
      </c>
      <c r="J170" s="27">
        <v>1.62</v>
      </c>
      <c r="K170" s="27">
        <v>15.047000000000001</v>
      </c>
      <c r="L170" s="27">
        <v>42.295999999999999</v>
      </c>
      <c r="M170" s="27">
        <v>3.7210000000000001</v>
      </c>
      <c r="N170" s="27">
        <v>1.4570000000000001</v>
      </c>
      <c r="O170" s="18" t="s">
        <v>41</v>
      </c>
    </row>
    <row r="171" spans="2:15" x14ac:dyDescent="0.2">
      <c r="B171" s="132" t="s">
        <v>3</v>
      </c>
      <c r="C171" s="14">
        <v>4.5999999999999999E-2</v>
      </c>
      <c r="D171" s="28">
        <v>4.9000000000000002E-2</v>
      </c>
      <c r="E171" s="29">
        <v>0.05</v>
      </c>
      <c r="F171" s="68">
        <v>0.06</v>
      </c>
      <c r="G171" s="33">
        <v>5.0999999999999997E-2</v>
      </c>
      <c r="H171" s="33">
        <v>5.1999999999999998E-2</v>
      </c>
      <c r="I171" s="29">
        <v>0.05</v>
      </c>
      <c r="J171" s="33">
        <v>5.0999999999999997E-2</v>
      </c>
      <c r="K171" s="29">
        <v>0.05</v>
      </c>
      <c r="L171" s="28">
        <v>4.9000000000000002E-2</v>
      </c>
      <c r="M171" s="28">
        <v>4.9000000000000002E-2</v>
      </c>
      <c r="N171" s="28">
        <v>4.9000000000000002E-2</v>
      </c>
      <c r="O171" s="18" t="s">
        <v>38</v>
      </c>
    </row>
    <row r="172" spans="2:15" x14ac:dyDescent="0.2">
      <c r="B172" s="133"/>
      <c r="C172" s="21">
        <v>4.2000000000000003E-2</v>
      </c>
      <c r="D172" s="20">
        <v>4.3999999999999997E-2</v>
      </c>
      <c r="E172" s="20">
        <v>4.3999999999999997E-2</v>
      </c>
      <c r="F172" s="36">
        <v>5.3999999999999999E-2</v>
      </c>
      <c r="G172" s="20">
        <v>4.3999999999999997E-2</v>
      </c>
      <c r="H172" s="26">
        <v>4.4999999999999998E-2</v>
      </c>
      <c r="I172" s="20">
        <v>4.3999999999999997E-2</v>
      </c>
      <c r="J172" s="26">
        <v>4.4999999999999998E-2</v>
      </c>
      <c r="K172" s="20">
        <v>4.3999999999999997E-2</v>
      </c>
      <c r="L172" s="20">
        <v>4.2999999999999997E-2</v>
      </c>
      <c r="M172" s="20">
        <v>4.2999999999999997E-2</v>
      </c>
      <c r="N172" s="20">
        <v>4.3999999999999997E-2</v>
      </c>
      <c r="O172" s="18" t="s">
        <v>39</v>
      </c>
    </row>
    <row r="173" spans="2:15" x14ac:dyDescent="0.2">
      <c r="B173" s="133"/>
      <c r="C173" s="26">
        <v>2.4E-2</v>
      </c>
      <c r="D173" s="23">
        <v>2.7E-2</v>
      </c>
      <c r="E173" s="39">
        <v>3.3000000000000002E-2</v>
      </c>
      <c r="F173" s="22">
        <v>3.1E-2</v>
      </c>
      <c r="G173" s="37">
        <v>3.6999999999999998E-2</v>
      </c>
      <c r="H173" s="37">
        <v>3.7999999999999999E-2</v>
      </c>
      <c r="I173" s="22">
        <v>3.2000000000000001E-2</v>
      </c>
      <c r="J173" s="39">
        <v>3.2000000000000001E-2</v>
      </c>
      <c r="K173" s="22">
        <v>3.2000000000000001E-2</v>
      </c>
      <c r="L173" s="23">
        <v>2.8000000000000001E-2</v>
      </c>
      <c r="M173" s="24">
        <v>2.8000000000000001E-2</v>
      </c>
      <c r="N173" s="23">
        <v>2.8000000000000001E-2</v>
      </c>
      <c r="O173" s="18" t="s">
        <v>40</v>
      </c>
    </row>
    <row r="174" spans="2:15" x14ac:dyDescent="0.2">
      <c r="B174" s="133"/>
      <c r="C174" s="19">
        <v>4.2000000000000003E-2</v>
      </c>
      <c r="D174" s="19">
        <v>0.10199999999999999</v>
      </c>
      <c r="E174" s="23">
        <v>0.48399999999999999</v>
      </c>
      <c r="F174" s="21">
        <v>0.14199999999999999</v>
      </c>
      <c r="G174" s="31">
        <v>0.621</v>
      </c>
      <c r="H174" s="19">
        <v>6.3E-2</v>
      </c>
      <c r="I174" s="26">
        <v>0.33200000000000002</v>
      </c>
      <c r="J174" s="19">
        <v>8.4000000000000005E-2</v>
      </c>
      <c r="K174" s="20">
        <v>0.22600000000000001</v>
      </c>
      <c r="L174" s="19">
        <v>7.1999999999999995E-2</v>
      </c>
      <c r="M174" s="21">
        <v>0.186</v>
      </c>
      <c r="N174" s="19">
        <v>4.3999999999999997E-2</v>
      </c>
      <c r="O174" s="18">
        <v>570</v>
      </c>
    </row>
    <row r="175" spans="2:15" x14ac:dyDescent="0.2">
      <c r="B175" s="134"/>
      <c r="C175" s="27">
        <v>1.71</v>
      </c>
      <c r="D175" s="27">
        <v>3.8180000000000001</v>
      </c>
      <c r="E175" s="27">
        <v>14.778</v>
      </c>
      <c r="F175" s="27">
        <v>4.657</v>
      </c>
      <c r="G175" s="27">
        <v>16.678000000000001</v>
      </c>
      <c r="H175" s="27">
        <v>1.6459999999999999</v>
      </c>
      <c r="I175" s="27">
        <v>10.491</v>
      </c>
      <c r="J175" s="27">
        <v>2.61</v>
      </c>
      <c r="K175" s="27">
        <v>7.1429999999999998</v>
      </c>
      <c r="L175" s="27">
        <v>2.5920000000000001</v>
      </c>
      <c r="M175" s="27">
        <v>6.5679999999999996</v>
      </c>
      <c r="N175" s="27">
        <v>1.5880000000000001</v>
      </c>
      <c r="O175" s="18" t="s">
        <v>41</v>
      </c>
    </row>
    <row r="176" spans="2:15" x14ac:dyDescent="0.2">
      <c r="B176" s="132" t="s">
        <v>5</v>
      </c>
      <c r="C176" s="15">
        <v>4.8000000000000001E-2</v>
      </c>
      <c r="D176" s="34">
        <v>5.2999999999999999E-2</v>
      </c>
      <c r="E176" s="29">
        <v>0.05</v>
      </c>
      <c r="F176" s="33">
        <v>5.0999999999999997E-2</v>
      </c>
      <c r="G176" s="33">
        <v>5.0999999999999997E-2</v>
      </c>
      <c r="H176" s="65">
        <v>5.6000000000000001E-2</v>
      </c>
      <c r="I176" s="33">
        <v>5.0999999999999997E-2</v>
      </c>
      <c r="J176" s="29">
        <v>0.05</v>
      </c>
      <c r="K176" s="33">
        <v>5.1999999999999998E-2</v>
      </c>
      <c r="L176" s="64">
        <v>5.5E-2</v>
      </c>
      <c r="M176" s="29">
        <v>5.0999999999999997E-2</v>
      </c>
      <c r="N176" s="28">
        <v>4.9000000000000002E-2</v>
      </c>
      <c r="O176" s="18" t="s">
        <v>38</v>
      </c>
    </row>
    <row r="177" spans="2:15" x14ac:dyDescent="0.2">
      <c r="B177" s="133"/>
      <c r="C177" s="21">
        <v>4.2999999999999997E-2</v>
      </c>
      <c r="D177" s="23">
        <v>4.8000000000000001E-2</v>
      </c>
      <c r="E177" s="20">
        <v>4.3999999999999997E-2</v>
      </c>
      <c r="F177" s="26">
        <v>4.4999999999999998E-2</v>
      </c>
      <c r="G177" s="26">
        <v>4.4999999999999998E-2</v>
      </c>
      <c r="H177" s="31">
        <v>5.0999999999999997E-2</v>
      </c>
      <c r="I177" s="25">
        <v>4.5999999999999999E-2</v>
      </c>
      <c r="J177" s="21">
        <v>4.2999999999999997E-2</v>
      </c>
      <c r="K177" s="26">
        <v>4.5999999999999999E-2</v>
      </c>
      <c r="L177" s="24">
        <v>4.9000000000000002E-2</v>
      </c>
      <c r="M177" s="26">
        <v>4.4999999999999998E-2</v>
      </c>
      <c r="N177" s="20">
        <v>4.3999999999999997E-2</v>
      </c>
      <c r="O177" s="18" t="s">
        <v>39</v>
      </c>
    </row>
    <row r="178" spans="2:15" x14ac:dyDescent="0.2">
      <c r="B178" s="133"/>
      <c r="C178" s="23">
        <v>2.8000000000000001E-2</v>
      </c>
      <c r="D178" s="25">
        <v>2.5999999999999999E-2</v>
      </c>
      <c r="E178" s="39">
        <v>3.2000000000000001E-2</v>
      </c>
      <c r="F178" s="32">
        <v>3.4000000000000002E-2</v>
      </c>
      <c r="G178" s="36">
        <v>3.3000000000000002E-2</v>
      </c>
      <c r="H178" s="24">
        <v>2.8000000000000001E-2</v>
      </c>
      <c r="I178" s="23">
        <v>2.8000000000000001E-2</v>
      </c>
      <c r="J178" s="37">
        <v>3.7999999999999999E-2</v>
      </c>
      <c r="K178" s="32">
        <v>3.4000000000000002E-2</v>
      </c>
      <c r="L178" s="22">
        <v>3.1E-2</v>
      </c>
      <c r="M178" s="22">
        <v>3.2000000000000001E-2</v>
      </c>
      <c r="N178" s="24">
        <v>2.8000000000000001E-2</v>
      </c>
      <c r="O178" s="18" t="s">
        <v>40</v>
      </c>
    </row>
    <row r="179" spans="2:15" x14ac:dyDescent="0.2">
      <c r="B179" s="133"/>
      <c r="C179" s="19">
        <v>4.2999999999999997E-2</v>
      </c>
      <c r="D179" s="30">
        <v>1.0329999999999999</v>
      </c>
      <c r="E179" s="31">
        <v>0.64500000000000002</v>
      </c>
      <c r="F179" s="22">
        <v>0.71899999999999997</v>
      </c>
      <c r="G179" s="26">
        <v>0.32400000000000001</v>
      </c>
      <c r="H179" s="37">
        <v>1.1970000000000001</v>
      </c>
      <c r="I179" s="22">
        <v>0.77600000000000002</v>
      </c>
      <c r="J179" s="19">
        <v>8.8999999999999996E-2</v>
      </c>
      <c r="K179" s="23">
        <v>0.53600000000000003</v>
      </c>
      <c r="L179" s="30">
        <v>1.095</v>
      </c>
      <c r="M179" s="20">
        <v>0.28399999999999997</v>
      </c>
      <c r="N179" s="19">
        <v>4.2999999999999997E-2</v>
      </c>
      <c r="O179" s="18">
        <v>570</v>
      </c>
    </row>
    <row r="180" spans="2:15" x14ac:dyDescent="0.2">
      <c r="B180" s="134"/>
      <c r="C180" s="27">
        <v>1.548</v>
      </c>
      <c r="D180" s="27">
        <v>39.549999999999997</v>
      </c>
      <c r="E180" s="27">
        <v>20.007999999999999</v>
      </c>
      <c r="F180" s="27">
        <v>20.870999999999999</v>
      </c>
      <c r="G180" s="27">
        <v>9.7319999999999993</v>
      </c>
      <c r="H180" s="27">
        <v>42.24</v>
      </c>
      <c r="I180" s="27">
        <v>27.922000000000001</v>
      </c>
      <c r="J180" s="27">
        <v>2.3479999999999999</v>
      </c>
      <c r="K180" s="27">
        <v>15.567</v>
      </c>
      <c r="L180" s="27">
        <v>35.845999999999997</v>
      </c>
      <c r="M180" s="27">
        <v>8.9619999999999997</v>
      </c>
      <c r="N180" s="27">
        <v>1.528</v>
      </c>
      <c r="O180" s="18" t="s">
        <v>41</v>
      </c>
    </row>
    <row r="181" spans="2:15" x14ac:dyDescent="0.2">
      <c r="B181" s="132" t="s">
        <v>6</v>
      </c>
      <c r="C181" s="14">
        <v>4.5999999999999999E-2</v>
      </c>
      <c r="D181" s="14">
        <v>4.7E-2</v>
      </c>
      <c r="E181" s="29">
        <v>0.05</v>
      </c>
      <c r="F181" s="33">
        <v>5.1999999999999998E-2</v>
      </c>
      <c r="G181" s="29">
        <v>0.05</v>
      </c>
      <c r="H181" s="15">
        <v>4.7E-2</v>
      </c>
      <c r="I181" s="28">
        <v>0.05</v>
      </c>
      <c r="J181" s="29">
        <v>0.05</v>
      </c>
      <c r="K181" s="64">
        <v>5.3999999999999999E-2</v>
      </c>
      <c r="L181" s="29">
        <v>0.05</v>
      </c>
      <c r="M181" s="29">
        <v>5.0999999999999997E-2</v>
      </c>
      <c r="N181" s="29">
        <v>0.05</v>
      </c>
      <c r="O181" s="18" t="s">
        <v>38</v>
      </c>
    </row>
    <row r="182" spans="2:15" x14ac:dyDescent="0.2">
      <c r="B182" s="133"/>
      <c r="C182" s="19">
        <v>4.2000000000000003E-2</v>
      </c>
      <c r="D182" s="19">
        <v>4.2000000000000003E-2</v>
      </c>
      <c r="E182" s="26">
        <v>4.4999999999999998E-2</v>
      </c>
      <c r="F182" s="25">
        <v>4.5999999999999999E-2</v>
      </c>
      <c r="G182" s="26">
        <v>4.4999999999999998E-2</v>
      </c>
      <c r="H182" s="21">
        <v>4.2999999999999997E-2</v>
      </c>
      <c r="I182" s="20">
        <v>4.3999999999999997E-2</v>
      </c>
      <c r="J182" s="20">
        <v>4.3999999999999997E-2</v>
      </c>
      <c r="K182" s="23">
        <v>4.8000000000000001E-2</v>
      </c>
      <c r="L182" s="20">
        <v>4.3999999999999997E-2</v>
      </c>
      <c r="M182" s="26">
        <v>4.4999999999999998E-2</v>
      </c>
      <c r="N182" s="20">
        <v>4.3999999999999997E-2</v>
      </c>
      <c r="O182" s="18" t="s">
        <v>39</v>
      </c>
    </row>
    <row r="183" spans="2:15" x14ac:dyDescent="0.2">
      <c r="B183" s="133"/>
      <c r="C183" s="21">
        <v>2.1999999999999999E-2</v>
      </c>
      <c r="D183" s="24">
        <v>2.8000000000000001E-2</v>
      </c>
      <c r="E183" s="31">
        <v>0.03</v>
      </c>
      <c r="F183" s="39">
        <v>3.3000000000000002E-2</v>
      </c>
      <c r="G183" s="31">
        <v>2.9000000000000001E-2</v>
      </c>
      <c r="H183" s="23">
        <v>2.7E-2</v>
      </c>
      <c r="I183" s="22">
        <v>3.2000000000000001E-2</v>
      </c>
      <c r="J183" s="30">
        <v>3.6999999999999998E-2</v>
      </c>
      <c r="K183" s="22">
        <v>3.1E-2</v>
      </c>
      <c r="L183" s="36">
        <v>3.3000000000000002E-2</v>
      </c>
      <c r="M183" s="39">
        <v>3.2000000000000001E-2</v>
      </c>
      <c r="N183" s="39">
        <v>3.2000000000000001E-2</v>
      </c>
      <c r="O183" s="18" t="s">
        <v>40</v>
      </c>
    </row>
    <row r="184" spans="2:15" x14ac:dyDescent="0.2">
      <c r="B184" s="133"/>
      <c r="C184" s="19">
        <v>4.3999999999999997E-2</v>
      </c>
      <c r="D184" s="19">
        <v>5.7000000000000002E-2</v>
      </c>
      <c r="E184" s="24">
        <v>0.58799999999999997</v>
      </c>
      <c r="F184" s="22">
        <v>0.77800000000000002</v>
      </c>
      <c r="G184" s="31">
        <v>0.65400000000000003</v>
      </c>
      <c r="H184" s="19">
        <v>5.3999999999999999E-2</v>
      </c>
      <c r="I184" s="32">
        <v>0.97799999999999998</v>
      </c>
      <c r="J184" s="19">
        <v>7.4999999999999997E-2</v>
      </c>
      <c r="K184" s="31">
        <v>0.67</v>
      </c>
      <c r="L184" s="19">
        <v>5.1999999999999998E-2</v>
      </c>
      <c r="M184" s="26">
        <v>0.29399999999999998</v>
      </c>
      <c r="N184" s="19">
        <v>4.2999999999999997E-2</v>
      </c>
      <c r="O184" s="18">
        <v>570</v>
      </c>
    </row>
    <row r="185" spans="2:15" x14ac:dyDescent="0.2">
      <c r="B185" s="134"/>
      <c r="C185" s="27">
        <v>1.9930000000000001</v>
      </c>
      <c r="D185" s="27">
        <v>2.0190000000000001</v>
      </c>
      <c r="E185" s="27">
        <v>19.597000000000001</v>
      </c>
      <c r="F185" s="27">
        <v>23.751000000000001</v>
      </c>
      <c r="G185" s="27">
        <v>22.225000000000001</v>
      </c>
      <c r="H185" s="27">
        <v>2.0289999999999999</v>
      </c>
      <c r="I185" s="27">
        <v>30.881</v>
      </c>
      <c r="J185" s="27">
        <v>2.0539999999999998</v>
      </c>
      <c r="K185" s="27">
        <v>21.526</v>
      </c>
      <c r="L185" s="27">
        <v>1.554</v>
      </c>
      <c r="M185" s="27">
        <v>9.14</v>
      </c>
      <c r="N185" s="27">
        <v>1.347</v>
      </c>
      <c r="O185" s="18" t="s">
        <v>41</v>
      </c>
    </row>
    <row r="186" spans="2:15" x14ac:dyDescent="0.2">
      <c r="B186" s="132" t="s">
        <v>7</v>
      </c>
      <c r="C186" s="16">
        <v>4.5999999999999999E-2</v>
      </c>
      <c r="D186" s="65">
        <v>5.6000000000000001E-2</v>
      </c>
      <c r="E186" s="28">
        <v>4.9000000000000002E-2</v>
      </c>
      <c r="F186" s="28">
        <v>4.9000000000000002E-2</v>
      </c>
      <c r="G186" s="29">
        <v>5.0999999999999997E-2</v>
      </c>
      <c r="H186" s="68">
        <v>5.8999999999999997E-2</v>
      </c>
      <c r="I186" s="29">
        <v>0.05</v>
      </c>
      <c r="J186" s="29">
        <v>0.05</v>
      </c>
      <c r="K186" s="29">
        <v>5.0999999999999997E-2</v>
      </c>
      <c r="L186" s="17">
        <v>5.7000000000000002E-2</v>
      </c>
      <c r="M186" s="34">
        <v>5.1999999999999998E-2</v>
      </c>
      <c r="N186" s="29">
        <v>0.05</v>
      </c>
      <c r="O186" s="18" t="s">
        <v>38</v>
      </c>
    </row>
    <row r="187" spans="2:15" x14ac:dyDescent="0.2">
      <c r="B187" s="133"/>
      <c r="C187" s="19">
        <v>4.2000000000000003E-2</v>
      </c>
      <c r="D187" s="39">
        <v>5.1999999999999998E-2</v>
      </c>
      <c r="E187" s="20">
        <v>4.3999999999999997E-2</v>
      </c>
      <c r="F187" s="20">
        <v>4.3999999999999997E-2</v>
      </c>
      <c r="G187" s="26">
        <v>4.4999999999999998E-2</v>
      </c>
      <c r="H187" s="39">
        <v>5.2999999999999999E-2</v>
      </c>
      <c r="I187" s="26">
        <v>4.4999999999999998E-2</v>
      </c>
      <c r="J187" s="20">
        <v>4.3999999999999997E-2</v>
      </c>
      <c r="K187" s="26">
        <v>4.4999999999999998E-2</v>
      </c>
      <c r="L187" s="22">
        <v>5.0999999999999997E-2</v>
      </c>
      <c r="M187" s="25">
        <v>4.7E-2</v>
      </c>
      <c r="N187" s="20">
        <v>4.3999999999999997E-2</v>
      </c>
      <c r="O187" s="18" t="s">
        <v>39</v>
      </c>
    </row>
    <row r="188" spans="2:15" x14ac:dyDescent="0.2">
      <c r="B188" s="133"/>
      <c r="C188" s="21">
        <v>2.1999999999999999E-2</v>
      </c>
      <c r="D188" s="19">
        <v>2.1000000000000001E-2</v>
      </c>
      <c r="E188" s="25">
        <v>2.5999999999999999E-2</v>
      </c>
      <c r="F188" s="23">
        <v>2.7E-2</v>
      </c>
      <c r="G188" s="31">
        <v>2.9000000000000001E-2</v>
      </c>
      <c r="H188" s="22">
        <v>3.2000000000000001E-2</v>
      </c>
      <c r="I188" s="24">
        <v>2.8000000000000001E-2</v>
      </c>
      <c r="J188" s="39">
        <v>3.3000000000000002E-2</v>
      </c>
      <c r="K188" s="32">
        <v>3.4000000000000002E-2</v>
      </c>
      <c r="L188" s="36">
        <v>3.3000000000000002E-2</v>
      </c>
      <c r="M188" s="22">
        <v>3.2000000000000001E-2</v>
      </c>
      <c r="N188" s="22">
        <v>3.2000000000000001E-2</v>
      </c>
      <c r="O188" s="18" t="s">
        <v>40</v>
      </c>
    </row>
    <row r="189" spans="2:15" x14ac:dyDescent="0.2">
      <c r="B189" s="133"/>
      <c r="C189" s="19">
        <v>4.2000000000000003E-2</v>
      </c>
      <c r="D189" s="30">
        <v>1.0940000000000001</v>
      </c>
      <c r="E189" s="19">
        <v>7.2999999999999995E-2</v>
      </c>
      <c r="F189" s="31">
        <v>0.68400000000000005</v>
      </c>
      <c r="G189" s="25">
        <v>0.45400000000000001</v>
      </c>
      <c r="H189" s="37">
        <v>1.198</v>
      </c>
      <c r="I189" s="32">
        <v>1.024</v>
      </c>
      <c r="J189" s="21">
        <v>0.17399999999999999</v>
      </c>
      <c r="K189" s="31">
        <v>0.66</v>
      </c>
      <c r="L189" s="30">
        <v>1.0920000000000001</v>
      </c>
      <c r="M189" s="22">
        <v>0.70299999999999996</v>
      </c>
      <c r="N189" s="19">
        <v>4.2999999999999997E-2</v>
      </c>
      <c r="O189" s="18">
        <v>570</v>
      </c>
    </row>
    <row r="190" spans="2:15" x14ac:dyDescent="0.2">
      <c r="B190" s="134"/>
      <c r="C190" s="27">
        <v>1.899</v>
      </c>
      <c r="D190" s="27">
        <v>53.201999999999998</v>
      </c>
      <c r="E190" s="27">
        <v>2.8069999999999999</v>
      </c>
      <c r="F190" s="27">
        <v>25.134</v>
      </c>
      <c r="G190" s="27">
        <v>15.419</v>
      </c>
      <c r="H190" s="27">
        <v>37.825000000000003</v>
      </c>
      <c r="I190" s="27">
        <v>36.158999999999999</v>
      </c>
      <c r="J190" s="27">
        <v>5.3019999999999996</v>
      </c>
      <c r="K190" s="27">
        <v>19.175999999999998</v>
      </c>
      <c r="L190" s="27">
        <v>32.750999999999998</v>
      </c>
      <c r="M190" s="27">
        <v>22.184000000000001</v>
      </c>
      <c r="N190" s="27">
        <v>1.367</v>
      </c>
      <c r="O190" s="18" t="s">
        <v>41</v>
      </c>
    </row>
    <row r="191" spans="2:15" x14ac:dyDescent="0.2">
      <c r="B191" s="132" t="s">
        <v>8</v>
      </c>
      <c r="C191" s="64">
        <v>5.3999999999999999E-2</v>
      </c>
      <c r="D191" s="16">
        <v>4.3999999999999997E-2</v>
      </c>
      <c r="E191" s="33">
        <v>5.0999999999999997E-2</v>
      </c>
      <c r="F191" s="34">
        <v>5.1999999999999998E-2</v>
      </c>
      <c r="G191" s="28">
        <v>0.05</v>
      </c>
      <c r="H191" s="28">
        <v>0.05</v>
      </c>
      <c r="I191" s="38">
        <v>6.3E-2</v>
      </c>
      <c r="J191" s="15">
        <v>4.8000000000000001E-2</v>
      </c>
      <c r="K191" s="29">
        <v>5.0999999999999997E-2</v>
      </c>
      <c r="L191" s="15">
        <v>4.8000000000000001E-2</v>
      </c>
      <c r="M191" s="29">
        <v>5.0999999999999997E-2</v>
      </c>
      <c r="N191" s="28">
        <v>4.8000000000000001E-2</v>
      </c>
      <c r="O191" s="18" t="s">
        <v>38</v>
      </c>
    </row>
    <row r="192" spans="2:15" x14ac:dyDescent="0.2">
      <c r="B192" s="133"/>
      <c r="C192" s="31">
        <v>0.05</v>
      </c>
      <c r="D192" s="19">
        <v>4.1000000000000002E-2</v>
      </c>
      <c r="E192" s="23">
        <v>4.7E-2</v>
      </c>
      <c r="F192" s="23">
        <v>4.8000000000000001E-2</v>
      </c>
      <c r="G192" s="21">
        <v>4.2999999999999997E-2</v>
      </c>
      <c r="H192" s="20">
        <v>4.2999999999999997E-2</v>
      </c>
      <c r="I192" s="37">
        <v>5.8999999999999997E-2</v>
      </c>
      <c r="J192" s="20">
        <v>4.2999999999999997E-2</v>
      </c>
      <c r="K192" s="25">
        <v>4.5999999999999999E-2</v>
      </c>
      <c r="L192" s="21">
        <v>4.2999999999999997E-2</v>
      </c>
      <c r="M192" s="25">
        <v>4.5999999999999999E-2</v>
      </c>
      <c r="N192" s="20">
        <v>4.2999999999999997E-2</v>
      </c>
      <c r="O192" s="18" t="s">
        <v>39</v>
      </c>
    </row>
    <row r="193" spans="1:15" x14ac:dyDescent="0.2">
      <c r="B193" s="133"/>
      <c r="C193" s="26">
        <v>2.4E-2</v>
      </c>
      <c r="D193" s="19">
        <v>2.1000000000000001E-2</v>
      </c>
      <c r="E193" s="19">
        <v>0.02</v>
      </c>
      <c r="F193" s="25">
        <v>2.5999999999999999E-2</v>
      </c>
      <c r="G193" s="30">
        <v>3.5999999999999997E-2</v>
      </c>
      <c r="H193" s="36">
        <v>3.4000000000000002E-2</v>
      </c>
      <c r="I193" s="21">
        <v>2.1999999999999999E-2</v>
      </c>
      <c r="J193" s="23">
        <v>2.7E-2</v>
      </c>
      <c r="K193" s="25">
        <v>2.5999999999999999E-2</v>
      </c>
      <c r="L193" s="24">
        <v>2.9000000000000001E-2</v>
      </c>
      <c r="M193" s="25">
        <v>2.5999999999999999E-2</v>
      </c>
      <c r="N193" s="24">
        <v>2.8000000000000001E-2</v>
      </c>
      <c r="O193" s="18" t="s">
        <v>40</v>
      </c>
    </row>
    <row r="194" spans="1:15" x14ac:dyDescent="0.2">
      <c r="B194" s="133"/>
      <c r="C194" s="19">
        <v>0.05</v>
      </c>
      <c r="D194" s="19">
        <v>7.0999999999999994E-2</v>
      </c>
      <c r="E194" s="19">
        <v>9.1999999999999998E-2</v>
      </c>
      <c r="F194" s="36">
        <v>0.93100000000000005</v>
      </c>
      <c r="G194" s="25">
        <v>0.45</v>
      </c>
      <c r="H194" s="19">
        <v>5.7000000000000002E-2</v>
      </c>
      <c r="I194" s="30">
        <v>1.0940000000000001</v>
      </c>
      <c r="J194" s="24">
        <v>0.58699999999999997</v>
      </c>
      <c r="K194" s="22">
        <v>0.73599999999999999</v>
      </c>
      <c r="L194" s="19">
        <v>5.1999999999999998E-2</v>
      </c>
      <c r="M194" s="22">
        <v>0.77700000000000002</v>
      </c>
      <c r="N194" s="19">
        <v>4.2999999999999997E-2</v>
      </c>
      <c r="O194" s="18">
        <v>570</v>
      </c>
    </row>
    <row r="195" spans="1:15" x14ac:dyDescent="0.2">
      <c r="B195" s="134"/>
      <c r="C195" s="27">
        <v>2.0249999999999999</v>
      </c>
      <c r="D195" s="27">
        <v>3.363</v>
      </c>
      <c r="E195" s="27">
        <v>4.62</v>
      </c>
      <c r="F195" s="27">
        <v>35.64</v>
      </c>
      <c r="G195" s="27">
        <v>12.462</v>
      </c>
      <c r="H195" s="27">
        <v>1.6910000000000001</v>
      </c>
      <c r="I195" s="27">
        <v>50.473999999999997</v>
      </c>
      <c r="J195" s="27">
        <v>21.552</v>
      </c>
      <c r="K195" s="27">
        <v>28.783999999999999</v>
      </c>
      <c r="L195" s="27">
        <v>1.7929999999999999</v>
      </c>
      <c r="M195" s="27">
        <v>30.423999999999999</v>
      </c>
      <c r="N195" s="27">
        <v>1.504</v>
      </c>
      <c r="O195" s="18" t="s">
        <v>41</v>
      </c>
    </row>
    <row r="196" spans="1:15" x14ac:dyDescent="0.2">
      <c r="B196" s="132" t="s">
        <v>9</v>
      </c>
      <c r="C196" s="14">
        <v>4.5999999999999999E-2</v>
      </c>
      <c r="D196" s="14">
        <v>4.7E-2</v>
      </c>
      <c r="E196" s="16">
        <v>4.5999999999999999E-2</v>
      </c>
      <c r="F196" s="15">
        <v>4.8000000000000001E-2</v>
      </c>
      <c r="G196" s="28">
        <v>4.9000000000000002E-2</v>
      </c>
      <c r="H196" s="28">
        <v>4.9000000000000002E-2</v>
      </c>
      <c r="I196" s="28">
        <v>4.9000000000000002E-2</v>
      </c>
      <c r="J196" s="34">
        <v>5.2999999999999999E-2</v>
      </c>
      <c r="K196" s="29">
        <v>0.05</v>
      </c>
      <c r="L196" s="28">
        <v>0.05</v>
      </c>
      <c r="M196" s="29">
        <v>0.05</v>
      </c>
      <c r="N196" s="28">
        <v>4.9000000000000002E-2</v>
      </c>
      <c r="O196" s="18" t="s">
        <v>38</v>
      </c>
    </row>
    <row r="197" spans="1:15" x14ac:dyDescent="0.2">
      <c r="B197" s="133"/>
      <c r="C197" s="21">
        <v>4.2000000000000003E-2</v>
      </c>
      <c r="D197" s="19">
        <v>4.2000000000000003E-2</v>
      </c>
      <c r="E197" s="19">
        <v>4.1000000000000002E-2</v>
      </c>
      <c r="F197" s="21">
        <v>4.2999999999999997E-2</v>
      </c>
      <c r="G197" s="20">
        <v>4.2999999999999997E-2</v>
      </c>
      <c r="H197" s="21">
        <v>4.2999999999999997E-2</v>
      </c>
      <c r="I197" s="20">
        <v>4.2999999999999997E-2</v>
      </c>
      <c r="J197" s="23">
        <v>4.8000000000000001E-2</v>
      </c>
      <c r="K197" s="20">
        <v>4.3999999999999997E-2</v>
      </c>
      <c r="L197" s="20">
        <v>4.3999999999999997E-2</v>
      </c>
      <c r="M197" s="20">
        <v>4.3999999999999997E-2</v>
      </c>
      <c r="N197" s="21">
        <v>4.2999999999999997E-2</v>
      </c>
      <c r="O197" s="18" t="s">
        <v>39</v>
      </c>
    </row>
    <row r="198" spans="1:15" x14ac:dyDescent="0.2">
      <c r="B198" s="133"/>
      <c r="C198" s="20">
        <v>2.3E-2</v>
      </c>
      <c r="D198" s="31">
        <v>2.9000000000000001E-2</v>
      </c>
      <c r="E198" s="23">
        <v>2.7E-2</v>
      </c>
      <c r="F198" s="24">
        <v>2.8000000000000001E-2</v>
      </c>
      <c r="G198" s="22">
        <v>3.2000000000000001E-2</v>
      </c>
      <c r="H198" s="22">
        <v>3.1E-2</v>
      </c>
      <c r="I198" s="36">
        <v>3.4000000000000002E-2</v>
      </c>
      <c r="J198" s="31">
        <v>2.9000000000000001E-2</v>
      </c>
      <c r="K198" s="22">
        <v>3.2000000000000001E-2</v>
      </c>
      <c r="L198" s="22">
        <v>3.1E-2</v>
      </c>
      <c r="M198" s="22">
        <v>3.2000000000000001E-2</v>
      </c>
      <c r="N198" s="22">
        <v>3.1E-2</v>
      </c>
      <c r="O198" s="18" t="s">
        <v>40</v>
      </c>
    </row>
    <row r="199" spans="1:15" x14ac:dyDescent="0.2">
      <c r="B199" s="133"/>
      <c r="C199" s="19">
        <v>4.2999999999999997E-2</v>
      </c>
      <c r="D199" s="19">
        <v>4.2000000000000003E-2</v>
      </c>
      <c r="E199" s="19">
        <v>4.2999999999999997E-2</v>
      </c>
      <c r="F199" s="19">
        <v>4.2999999999999997E-2</v>
      </c>
      <c r="G199" s="19">
        <v>4.2999999999999997E-2</v>
      </c>
      <c r="H199" s="19">
        <v>4.2999999999999997E-2</v>
      </c>
      <c r="I199" s="19">
        <v>4.2999999999999997E-2</v>
      </c>
      <c r="J199" s="19">
        <v>4.7E-2</v>
      </c>
      <c r="K199" s="19">
        <v>4.2999999999999997E-2</v>
      </c>
      <c r="L199" s="19">
        <v>4.2999999999999997E-2</v>
      </c>
      <c r="M199" s="19">
        <v>4.3999999999999997E-2</v>
      </c>
      <c r="N199" s="19">
        <v>4.2000000000000003E-2</v>
      </c>
      <c r="O199" s="18">
        <v>570</v>
      </c>
    </row>
    <row r="200" spans="1:15" x14ac:dyDescent="0.2">
      <c r="B200" s="134"/>
      <c r="C200" s="27">
        <v>1.87</v>
      </c>
      <c r="D200" s="27">
        <v>1.4259999999999999</v>
      </c>
      <c r="E200" s="27">
        <v>1.5720000000000001</v>
      </c>
      <c r="F200" s="27">
        <v>1.532</v>
      </c>
      <c r="G200" s="27">
        <v>1.367</v>
      </c>
      <c r="H200" s="27">
        <v>1.397</v>
      </c>
      <c r="I200" s="27">
        <v>1.2629999999999999</v>
      </c>
      <c r="J200" s="27">
        <v>1.61</v>
      </c>
      <c r="K200" s="27">
        <v>1.361</v>
      </c>
      <c r="L200" s="27">
        <v>1.385</v>
      </c>
      <c r="M200" s="27">
        <v>1.383</v>
      </c>
      <c r="N200" s="27">
        <v>1.363</v>
      </c>
      <c r="O200" s="18" t="s">
        <v>41</v>
      </c>
    </row>
    <row r="203" spans="1:15" x14ac:dyDescent="0.2">
      <c r="A203" t="s">
        <v>10</v>
      </c>
      <c r="B203" t="s">
        <v>11</v>
      </c>
      <c r="D203" s="7" t="s">
        <v>86</v>
      </c>
      <c r="E203" s="40">
        <v>45380</v>
      </c>
      <c r="F203" s="7" t="s">
        <v>68</v>
      </c>
    </row>
    <row r="205" spans="1:15" x14ac:dyDescent="0.2">
      <c r="A205" t="s">
        <v>12</v>
      </c>
    </row>
    <row r="206" spans="1:15" x14ac:dyDescent="0.2">
      <c r="A206" t="s">
        <v>13</v>
      </c>
      <c r="B206" t="s">
        <v>14</v>
      </c>
    </row>
    <row r="207" spans="1:15" x14ac:dyDescent="0.2">
      <c r="A207" t="s">
        <v>15</v>
      </c>
      <c r="B207" t="s">
        <v>68</v>
      </c>
    </row>
    <row r="208" spans="1:15" x14ac:dyDescent="0.2">
      <c r="A208" t="s">
        <v>17</v>
      </c>
      <c r="B208" s="8">
        <v>45380</v>
      </c>
    </row>
    <row r="209" spans="1:2" x14ac:dyDescent="0.2">
      <c r="A209" t="s">
        <v>18</v>
      </c>
      <c r="B209" s="9">
        <v>0.61868055555555557</v>
      </c>
    </row>
    <row r="210" spans="1:2" x14ac:dyDescent="0.2">
      <c r="A210" t="s">
        <v>19</v>
      </c>
      <c r="B210" t="s">
        <v>20</v>
      </c>
    </row>
    <row r="211" spans="1:2" x14ac:dyDescent="0.2">
      <c r="A211" t="s">
        <v>21</v>
      </c>
      <c r="B211" t="s">
        <v>22</v>
      </c>
    </row>
    <row r="212" spans="1:2" x14ac:dyDescent="0.2">
      <c r="A212" t="s">
        <v>23</v>
      </c>
      <c r="B212" t="s">
        <v>24</v>
      </c>
    </row>
    <row r="214" spans="1:2" x14ac:dyDescent="0.2">
      <c r="A214" s="10" t="s">
        <v>25</v>
      </c>
      <c r="B214" s="11"/>
    </row>
    <row r="215" spans="1:2" x14ac:dyDescent="0.2">
      <c r="A215" t="s">
        <v>26</v>
      </c>
      <c r="B215" t="s">
        <v>27</v>
      </c>
    </row>
    <row r="216" spans="1:2" x14ac:dyDescent="0.2">
      <c r="A216" t="s">
        <v>28</v>
      </c>
    </row>
    <row r="217" spans="1:2" x14ac:dyDescent="0.2">
      <c r="A217" t="s">
        <v>29</v>
      </c>
      <c r="B217" t="s">
        <v>30</v>
      </c>
    </row>
    <row r="218" spans="1:2" x14ac:dyDescent="0.2">
      <c r="B218" t="s">
        <v>31</v>
      </c>
    </row>
    <row r="219" spans="1:2" x14ac:dyDescent="0.2">
      <c r="B219" t="s">
        <v>32</v>
      </c>
    </row>
    <row r="220" spans="1:2" x14ac:dyDescent="0.2">
      <c r="B220" t="s">
        <v>33</v>
      </c>
    </row>
    <row r="221" spans="1:2" x14ac:dyDescent="0.2">
      <c r="B221" t="s">
        <v>34</v>
      </c>
    </row>
    <row r="222" spans="1:2" x14ac:dyDescent="0.2">
      <c r="B222" t="s">
        <v>35</v>
      </c>
    </row>
    <row r="224" spans="1:2" x14ac:dyDescent="0.2">
      <c r="A224" s="10" t="s">
        <v>36</v>
      </c>
      <c r="B224" s="11"/>
    </row>
    <row r="225" spans="1:15" x14ac:dyDescent="0.2">
      <c r="A225" t="s">
        <v>37</v>
      </c>
      <c r="B225">
        <v>20.100000000000001</v>
      </c>
    </row>
    <row r="227" spans="1:15" x14ac:dyDescent="0.2">
      <c r="B227" s="12"/>
      <c r="C227" s="13">
        <v>1</v>
      </c>
      <c r="D227" s="13">
        <v>2</v>
      </c>
      <c r="E227" s="13">
        <v>3</v>
      </c>
      <c r="F227" s="13">
        <v>4</v>
      </c>
      <c r="G227" s="13">
        <v>5</v>
      </c>
      <c r="H227" s="13">
        <v>6</v>
      </c>
      <c r="I227" s="13">
        <v>7</v>
      </c>
      <c r="J227" s="13">
        <v>8</v>
      </c>
      <c r="K227" s="13">
        <v>9</v>
      </c>
      <c r="L227" s="13">
        <v>10</v>
      </c>
      <c r="M227" s="13">
        <v>11</v>
      </c>
      <c r="N227" s="13">
        <v>12</v>
      </c>
    </row>
    <row r="228" spans="1:15" x14ac:dyDescent="0.2">
      <c r="B228" s="132" t="s">
        <v>0</v>
      </c>
      <c r="C228" s="14">
        <v>4.9000000000000002E-2</v>
      </c>
      <c r="D228" s="14">
        <v>4.8000000000000001E-2</v>
      </c>
      <c r="E228" s="14">
        <v>4.9000000000000002E-2</v>
      </c>
      <c r="F228" s="16">
        <v>4.7E-2</v>
      </c>
      <c r="G228" s="16">
        <v>4.7E-2</v>
      </c>
      <c r="H228" s="14">
        <v>4.8000000000000001E-2</v>
      </c>
      <c r="I228" s="14">
        <v>4.8000000000000001E-2</v>
      </c>
      <c r="J228" s="16">
        <v>4.7E-2</v>
      </c>
      <c r="K228" s="16">
        <v>4.8000000000000001E-2</v>
      </c>
      <c r="L228" s="16">
        <v>4.5999999999999999E-2</v>
      </c>
      <c r="M228" s="14">
        <v>4.8000000000000001E-2</v>
      </c>
      <c r="N228" s="16">
        <v>4.5999999999999999E-2</v>
      </c>
      <c r="O228" s="18" t="s">
        <v>38</v>
      </c>
    </row>
    <row r="229" spans="1:15" x14ac:dyDescent="0.2">
      <c r="B229" s="133"/>
      <c r="C229" s="21">
        <v>4.2999999999999997E-2</v>
      </c>
      <c r="D229" s="19">
        <v>4.2000000000000003E-2</v>
      </c>
      <c r="E229" s="21">
        <v>4.3999999999999997E-2</v>
      </c>
      <c r="F229" s="19">
        <v>4.1000000000000002E-2</v>
      </c>
      <c r="G229" s="19">
        <v>4.2000000000000003E-2</v>
      </c>
      <c r="H229" s="19">
        <v>4.2000000000000003E-2</v>
      </c>
      <c r="I229" s="19">
        <v>4.2000000000000003E-2</v>
      </c>
      <c r="J229" s="19">
        <v>4.2000000000000003E-2</v>
      </c>
      <c r="K229" s="21">
        <v>4.2000000000000003E-2</v>
      </c>
      <c r="L229" s="19">
        <v>4.1000000000000002E-2</v>
      </c>
      <c r="M229" s="21">
        <v>4.2999999999999997E-2</v>
      </c>
      <c r="N229" s="19">
        <v>4.1000000000000002E-2</v>
      </c>
      <c r="O229" s="18" t="s">
        <v>39</v>
      </c>
    </row>
    <row r="230" spans="1:15" x14ac:dyDescent="0.2">
      <c r="B230" s="133"/>
      <c r="C230" s="23">
        <v>3.1E-2</v>
      </c>
      <c r="D230" s="24">
        <v>3.3000000000000002E-2</v>
      </c>
      <c r="E230" s="23">
        <v>2.8000000000000001E-2</v>
      </c>
      <c r="F230" s="31">
        <v>3.5999999999999997E-2</v>
      </c>
      <c r="G230" s="23">
        <v>2.9000000000000001E-2</v>
      </c>
      <c r="H230" s="24">
        <v>3.2000000000000001E-2</v>
      </c>
      <c r="I230" s="24">
        <v>3.2000000000000001E-2</v>
      </c>
      <c r="J230" s="24">
        <v>3.2000000000000001E-2</v>
      </c>
      <c r="K230" s="23">
        <v>2.8000000000000001E-2</v>
      </c>
      <c r="L230" s="23">
        <v>3.1E-2</v>
      </c>
      <c r="M230" s="23">
        <v>0.03</v>
      </c>
      <c r="N230" s="23">
        <v>2.8000000000000001E-2</v>
      </c>
      <c r="O230" s="18" t="s">
        <v>40</v>
      </c>
    </row>
    <row r="231" spans="1:15" x14ac:dyDescent="0.2">
      <c r="B231" s="133"/>
      <c r="C231" s="19">
        <v>4.1000000000000002E-2</v>
      </c>
      <c r="D231" s="19">
        <v>4.1000000000000002E-2</v>
      </c>
      <c r="E231" s="19">
        <v>4.2000000000000003E-2</v>
      </c>
      <c r="F231" s="19">
        <v>4.1000000000000002E-2</v>
      </c>
      <c r="G231" s="19">
        <v>4.1000000000000002E-2</v>
      </c>
      <c r="H231" s="19">
        <v>4.1000000000000002E-2</v>
      </c>
      <c r="I231" s="19">
        <v>4.1000000000000002E-2</v>
      </c>
      <c r="J231" s="19">
        <v>4.1000000000000002E-2</v>
      </c>
      <c r="K231" s="19">
        <v>0.04</v>
      </c>
      <c r="L231" s="19">
        <v>0.04</v>
      </c>
      <c r="M231" s="19">
        <v>0.04</v>
      </c>
      <c r="N231" s="19">
        <v>0.04</v>
      </c>
      <c r="O231" s="18">
        <v>570</v>
      </c>
    </row>
    <row r="232" spans="1:15" x14ac:dyDescent="0.2">
      <c r="B232" s="134"/>
      <c r="C232" s="27">
        <v>1.339</v>
      </c>
      <c r="D232" s="27">
        <v>1.2330000000000001</v>
      </c>
      <c r="E232" s="27">
        <v>1.494</v>
      </c>
      <c r="F232" s="27">
        <v>1.159</v>
      </c>
      <c r="G232" s="27">
        <v>1.375</v>
      </c>
      <c r="H232" s="27">
        <v>1.2849999999999999</v>
      </c>
      <c r="I232" s="27">
        <v>1.292</v>
      </c>
      <c r="J232" s="27">
        <v>1.298</v>
      </c>
      <c r="K232" s="27">
        <v>1.419</v>
      </c>
      <c r="L232" s="27">
        <v>1.3220000000000001</v>
      </c>
      <c r="M232" s="27">
        <v>1.333</v>
      </c>
      <c r="N232" s="27">
        <v>1.454</v>
      </c>
      <c r="O232" s="18" t="s">
        <v>41</v>
      </c>
    </row>
    <row r="233" spans="1:15" x14ac:dyDescent="0.2">
      <c r="B233" s="132" t="s">
        <v>1</v>
      </c>
      <c r="C233" s="16">
        <v>4.7E-2</v>
      </c>
      <c r="D233" s="29">
        <v>5.2999999999999999E-2</v>
      </c>
      <c r="E233" s="28">
        <v>5.0999999999999997E-2</v>
      </c>
      <c r="F233" s="15">
        <v>0.05</v>
      </c>
      <c r="G233" s="14">
        <v>4.9000000000000002E-2</v>
      </c>
      <c r="H233" s="28">
        <v>5.1999999999999998E-2</v>
      </c>
      <c r="I233" s="29">
        <v>5.2999999999999999E-2</v>
      </c>
      <c r="J233" s="15">
        <v>0.05</v>
      </c>
      <c r="K233" s="14">
        <v>4.9000000000000002E-2</v>
      </c>
      <c r="L233" s="15">
        <v>0.05</v>
      </c>
      <c r="M233" s="16">
        <v>4.7E-2</v>
      </c>
      <c r="N233" s="16">
        <v>4.7E-2</v>
      </c>
      <c r="O233" s="18" t="s">
        <v>38</v>
      </c>
    </row>
    <row r="234" spans="1:15" x14ac:dyDescent="0.2">
      <c r="B234" s="133"/>
      <c r="C234" s="21">
        <v>4.2000000000000003E-2</v>
      </c>
      <c r="D234" s="25">
        <v>4.8000000000000001E-2</v>
      </c>
      <c r="E234" s="26">
        <v>4.5999999999999999E-2</v>
      </c>
      <c r="F234" s="20">
        <v>4.4999999999999998E-2</v>
      </c>
      <c r="G234" s="21">
        <v>4.2000000000000003E-2</v>
      </c>
      <c r="H234" s="26">
        <v>4.7E-2</v>
      </c>
      <c r="I234" s="26">
        <v>4.7E-2</v>
      </c>
      <c r="J234" s="21">
        <v>4.2999999999999997E-2</v>
      </c>
      <c r="K234" s="21">
        <v>4.2999999999999997E-2</v>
      </c>
      <c r="L234" s="20">
        <v>4.3999999999999997E-2</v>
      </c>
      <c r="M234" s="19">
        <v>4.1000000000000002E-2</v>
      </c>
      <c r="N234" s="19">
        <v>4.2000000000000003E-2</v>
      </c>
      <c r="O234" s="18" t="s">
        <v>39</v>
      </c>
    </row>
    <row r="235" spans="1:15" x14ac:dyDescent="0.2">
      <c r="B235" s="133"/>
      <c r="C235" s="25">
        <v>2.5999999999999999E-2</v>
      </c>
      <c r="D235" s="23">
        <v>3.1E-2</v>
      </c>
      <c r="E235" s="23">
        <v>0.03</v>
      </c>
      <c r="F235" s="25">
        <v>2.5999999999999999E-2</v>
      </c>
      <c r="G235" s="31">
        <v>3.6999999999999998E-2</v>
      </c>
      <c r="H235" s="23">
        <v>2.9000000000000001E-2</v>
      </c>
      <c r="I235" s="24">
        <v>3.3000000000000002E-2</v>
      </c>
      <c r="J235" s="31">
        <v>3.5999999999999997E-2</v>
      </c>
      <c r="K235" s="24">
        <v>3.3000000000000002E-2</v>
      </c>
      <c r="L235" s="23">
        <v>2.9000000000000001E-2</v>
      </c>
      <c r="M235" s="24">
        <v>3.3000000000000002E-2</v>
      </c>
      <c r="N235" s="23">
        <v>2.9000000000000001E-2</v>
      </c>
      <c r="O235" s="18" t="s">
        <v>40</v>
      </c>
    </row>
    <row r="236" spans="1:15" x14ac:dyDescent="0.2">
      <c r="B236" s="133"/>
      <c r="C236" s="19">
        <v>4.2000000000000003E-2</v>
      </c>
      <c r="D236" s="39">
        <v>1.024</v>
      </c>
      <c r="E236" s="21">
        <v>0.221</v>
      </c>
      <c r="F236" s="19">
        <v>9.6000000000000002E-2</v>
      </c>
      <c r="G236" s="25">
        <v>0.44800000000000001</v>
      </c>
      <c r="H236" s="36">
        <v>1.123</v>
      </c>
      <c r="I236" s="26">
        <v>0.38900000000000001</v>
      </c>
      <c r="J236" s="19">
        <v>4.2999999999999997E-2</v>
      </c>
      <c r="K236" s="20">
        <v>0.30599999999999999</v>
      </c>
      <c r="L236" s="36">
        <v>1.0469999999999999</v>
      </c>
      <c r="M236" s="19">
        <v>6.2E-2</v>
      </c>
      <c r="N236" s="19">
        <v>0.04</v>
      </c>
      <c r="O236" s="18">
        <v>570</v>
      </c>
    </row>
    <row r="237" spans="1:15" x14ac:dyDescent="0.2">
      <c r="B237" s="134"/>
      <c r="C237" s="27">
        <v>1.601</v>
      </c>
      <c r="D237" s="27">
        <v>32.911000000000001</v>
      </c>
      <c r="E237" s="27">
        <v>7.37</v>
      </c>
      <c r="F237" s="27">
        <v>3.7490000000000001</v>
      </c>
      <c r="G237" s="27">
        <v>12.032999999999999</v>
      </c>
      <c r="H237" s="27">
        <v>38.122999999999998</v>
      </c>
      <c r="I237" s="27">
        <v>11.868</v>
      </c>
      <c r="J237" s="27">
        <v>1.202</v>
      </c>
      <c r="K237" s="27">
        <v>9.3330000000000002</v>
      </c>
      <c r="L237" s="27">
        <v>35.555</v>
      </c>
      <c r="M237" s="27">
        <v>1.8540000000000001</v>
      </c>
      <c r="N237" s="27">
        <v>1.369</v>
      </c>
      <c r="O237" s="18" t="s">
        <v>41</v>
      </c>
    </row>
    <row r="238" spans="1:15" x14ac:dyDescent="0.2">
      <c r="B238" s="132" t="s">
        <v>3</v>
      </c>
      <c r="C238" s="15">
        <v>4.9000000000000002E-2</v>
      </c>
      <c r="D238" s="64">
        <v>5.8000000000000003E-2</v>
      </c>
      <c r="E238" s="33">
        <v>5.6000000000000001E-2</v>
      </c>
      <c r="F238" s="28">
        <v>5.0999999999999997E-2</v>
      </c>
      <c r="G238" s="29">
        <v>5.3999999999999999E-2</v>
      </c>
      <c r="H238" s="15">
        <v>0.05</v>
      </c>
      <c r="I238" s="15">
        <v>0.05</v>
      </c>
      <c r="J238" s="15">
        <v>0.05</v>
      </c>
      <c r="K238" s="14">
        <v>4.9000000000000002E-2</v>
      </c>
      <c r="L238" s="14">
        <v>4.9000000000000002E-2</v>
      </c>
      <c r="M238" s="14">
        <v>4.9000000000000002E-2</v>
      </c>
      <c r="N238" s="14">
        <v>4.8000000000000001E-2</v>
      </c>
      <c r="O238" s="18" t="s">
        <v>38</v>
      </c>
    </row>
    <row r="239" spans="1:15" x14ac:dyDescent="0.2">
      <c r="B239" s="133"/>
      <c r="C239" s="21">
        <v>4.2999999999999997E-2</v>
      </c>
      <c r="D239" s="31">
        <v>5.3999999999999999E-2</v>
      </c>
      <c r="E239" s="20">
        <v>4.4999999999999998E-2</v>
      </c>
      <c r="F239" s="20">
        <v>4.4999999999999998E-2</v>
      </c>
      <c r="G239" s="20">
        <v>4.4999999999999998E-2</v>
      </c>
      <c r="H239" s="20">
        <v>4.5999999999999999E-2</v>
      </c>
      <c r="I239" s="21">
        <v>4.2999999999999997E-2</v>
      </c>
      <c r="J239" s="21">
        <v>4.3999999999999997E-2</v>
      </c>
      <c r="K239" s="26">
        <v>4.7E-2</v>
      </c>
      <c r="L239" s="21">
        <v>4.2999999999999997E-2</v>
      </c>
      <c r="M239" s="21">
        <v>4.2999999999999997E-2</v>
      </c>
      <c r="N239" s="21">
        <v>4.2999999999999997E-2</v>
      </c>
      <c r="O239" s="18" t="s">
        <v>39</v>
      </c>
    </row>
    <row r="240" spans="1:15" x14ac:dyDescent="0.2">
      <c r="B240" s="133"/>
      <c r="C240" s="24">
        <v>3.2000000000000001E-2</v>
      </c>
      <c r="D240" s="26">
        <v>2.1000000000000001E-2</v>
      </c>
      <c r="E240" s="37">
        <v>0.06</v>
      </c>
      <c r="F240" s="24">
        <v>3.4000000000000002E-2</v>
      </c>
      <c r="G240" s="32">
        <v>5.0999999999999997E-2</v>
      </c>
      <c r="H240" s="25">
        <v>2.5999999999999999E-2</v>
      </c>
      <c r="I240" s="31">
        <v>3.5999999999999997E-2</v>
      </c>
      <c r="J240" s="24">
        <v>3.3000000000000002E-2</v>
      </c>
      <c r="K240" s="19">
        <v>8.9999999999999993E-3</v>
      </c>
      <c r="L240" s="23">
        <v>3.1E-2</v>
      </c>
      <c r="M240" s="24">
        <v>3.3000000000000002E-2</v>
      </c>
      <c r="N240" s="23">
        <v>2.9000000000000001E-2</v>
      </c>
      <c r="O240" s="18" t="s">
        <v>40</v>
      </c>
    </row>
    <row r="241" spans="2:15" x14ac:dyDescent="0.2">
      <c r="B241" s="133"/>
      <c r="C241" s="19">
        <v>4.2000000000000003E-2</v>
      </c>
      <c r="D241" s="26">
        <v>0.36499999999999999</v>
      </c>
      <c r="E241" s="26">
        <v>0.41699999999999998</v>
      </c>
      <c r="F241" s="21">
        <v>0.217</v>
      </c>
      <c r="G241" s="23">
        <v>0.57499999999999996</v>
      </c>
      <c r="H241" s="21">
        <v>0.216</v>
      </c>
      <c r="I241" s="20">
        <v>0.29699999999999999</v>
      </c>
      <c r="J241" s="19">
        <v>4.9000000000000002E-2</v>
      </c>
      <c r="K241" s="20">
        <v>0.28000000000000003</v>
      </c>
      <c r="L241" s="21">
        <v>0.218</v>
      </c>
      <c r="M241" s="25">
        <v>0.45100000000000001</v>
      </c>
      <c r="N241" s="19">
        <v>4.2000000000000003E-2</v>
      </c>
      <c r="O241" s="18">
        <v>570</v>
      </c>
    </row>
    <row r="242" spans="2:15" x14ac:dyDescent="0.2">
      <c r="B242" s="134"/>
      <c r="C242" s="27">
        <v>1.3140000000000001</v>
      </c>
      <c r="D242" s="27">
        <v>17.736999999999998</v>
      </c>
      <c r="E242" s="27">
        <v>6.9480000000000004</v>
      </c>
      <c r="F242" s="27">
        <v>6.306</v>
      </c>
      <c r="G242" s="27">
        <v>11.374000000000001</v>
      </c>
      <c r="H242" s="27">
        <v>8.452</v>
      </c>
      <c r="I242" s="27">
        <v>8.3469999999999995</v>
      </c>
      <c r="J242" s="27">
        <v>1.464</v>
      </c>
      <c r="K242" s="27">
        <v>29.594000000000001</v>
      </c>
      <c r="L242" s="27">
        <v>7.125</v>
      </c>
      <c r="M242" s="27">
        <v>13.747</v>
      </c>
      <c r="N242" s="27">
        <v>1.4159999999999999</v>
      </c>
      <c r="O242" s="18" t="s">
        <v>41</v>
      </c>
    </row>
    <row r="243" spans="2:15" x14ac:dyDescent="0.2">
      <c r="B243" s="132" t="s">
        <v>5</v>
      </c>
      <c r="C243" s="15">
        <v>0.05</v>
      </c>
      <c r="D243" s="33">
        <v>5.6000000000000001E-2</v>
      </c>
      <c r="E243" s="35">
        <v>6.3E-2</v>
      </c>
      <c r="F243" s="64">
        <v>5.8000000000000003E-2</v>
      </c>
      <c r="G243" s="35">
        <v>6.2E-2</v>
      </c>
      <c r="H243" s="29">
        <v>5.2999999999999999E-2</v>
      </c>
      <c r="I243" s="15">
        <v>5.0999999999999997E-2</v>
      </c>
      <c r="J243" s="29">
        <v>5.3999999999999999E-2</v>
      </c>
      <c r="K243" s="28">
        <v>5.0999999999999997E-2</v>
      </c>
      <c r="L243" s="29">
        <v>5.2999999999999999E-2</v>
      </c>
      <c r="M243" s="14">
        <v>4.9000000000000002E-2</v>
      </c>
      <c r="N243" s="16">
        <v>4.8000000000000001E-2</v>
      </c>
      <c r="O243" s="18" t="s">
        <v>38</v>
      </c>
    </row>
    <row r="244" spans="2:15" x14ac:dyDescent="0.2">
      <c r="B244" s="133"/>
      <c r="C244" s="20">
        <v>4.3999999999999997E-2</v>
      </c>
      <c r="D244" s="23">
        <v>0.05</v>
      </c>
      <c r="E244" s="39">
        <v>5.8000000000000003E-2</v>
      </c>
      <c r="F244" s="24">
        <v>5.1999999999999998E-2</v>
      </c>
      <c r="G244" s="39">
        <v>5.8000000000000003E-2</v>
      </c>
      <c r="H244" s="25">
        <v>4.8000000000000001E-2</v>
      </c>
      <c r="I244" s="20">
        <v>4.4999999999999998E-2</v>
      </c>
      <c r="J244" s="20">
        <v>4.4999999999999998E-2</v>
      </c>
      <c r="K244" s="20">
        <v>4.4999999999999998E-2</v>
      </c>
      <c r="L244" s="26">
        <v>4.7E-2</v>
      </c>
      <c r="M244" s="21">
        <v>4.2999999999999997E-2</v>
      </c>
      <c r="N244" s="21">
        <v>4.2000000000000003E-2</v>
      </c>
      <c r="O244" s="18" t="s">
        <v>39</v>
      </c>
    </row>
    <row r="245" spans="2:15" x14ac:dyDescent="0.2">
      <c r="B245" s="133"/>
      <c r="C245" s="23">
        <v>3.1E-2</v>
      </c>
      <c r="D245" s="24">
        <v>3.2000000000000001E-2</v>
      </c>
      <c r="E245" s="23">
        <v>3.1E-2</v>
      </c>
      <c r="F245" s="23">
        <v>2.9000000000000001E-2</v>
      </c>
      <c r="G245" s="25">
        <v>2.4E-2</v>
      </c>
      <c r="H245" s="23">
        <v>2.9000000000000001E-2</v>
      </c>
      <c r="I245" s="24">
        <v>3.4000000000000002E-2</v>
      </c>
      <c r="J245" s="39">
        <v>4.4999999999999998E-2</v>
      </c>
      <c r="K245" s="24">
        <v>3.2000000000000001E-2</v>
      </c>
      <c r="L245" s="24">
        <v>3.2000000000000001E-2</v>
      </c>
      <c r="M245" s="31">
        <v>3.5999999999999997E-2</v>
      </c>
      <c r="N245" s="23">
        <v>2.9000000000000001E-2</v>
      </c>
      <c r="O245" s="18" t="s">
        <v>40</v>
      </c>
    </row>
    <row r="246" spans="2:15" x14ac:dyDescent="0.2">
      <c r="B246" s="133"/>
      <c r="C246" s="19">
        <v>4.1000000000000002E-2</v>
      </c>
      <c r="D246" s="32">
        <v>1.204</v>
      </c>
      <c r="E246" s="25">
        <v>0.47199999999999998</v>
      </c>
      <c r="F246" s="22">
        <v>0.89600000000000002</v>
      </c>
      <c r="G246" s="23">
        <v>0.6</v>
      </c>
      <c r="H246" s="32">
        <v>1.19</v>
      </c>
      <c r="I246" s="39">
        <v>1.0089999999999999</v>
      </c>
      <c r="J246" s="21">
        <v>0.159</v>
      </c>
      <c r="K246" s="24">
        <v>0.69599999999999995</v>
      </c>
      <c r="L246" s="32">
        <v>1.202</v>
      </c>
      <c r="M246" s="20">
        <v>0.312</v>
      </c>
      <c r="N246" s="19">
        <v>4.1000000000000002E-2</v>
      </c>
      <c r="O246" s="18">
        <v>570</v>
      </c>
    </row>
    <row r="247" spans="2:15" x14ac:dyDescent="0.2">
      <c r="B247" s="134"/>
      <c r="C247" s="27">
        <v>1.331</v>
      </c>
      <c r="D247" s="27">
        <v>37.359000000000002</v>
      </c>
      <c r="E247" s="27">
        <v>15.464</v>
      </c>
      <c r="F247" s="27">
        <v>30.417000000000002</v>
      </c>
      <c r="G247" s="27">
        <v>24.562000000000001</v>
      </c>
      <c r="H247" s="27">
        <v>41.177999999999997</v>
      </c>
      <c r="I247" s="27">
        <v>29.771000000000001</v>
      </c>
      <c r="J247" s="27">
        <v>3.536</v>
      </c>
      <c r="K247" s="27">
        <v>21.597000000000001</v>
      </c>
      <c r="L247" s="27">
        <v>37.307000000000002</v>
      </c>
      <c r="M247" s="27">
        <v>8.7780000000000005</v>
      </c>
      <c r="N247" s="27">
        <v>1.405</v>
      </c>
      <c r="O247" s="18" t="s">
        <v>41</v>
      </c>
    </row>
    <row r="248" spans="2:15" x14ac:dyDescent="0.2">
      <c r="B248" s="132" t="s">
        <v>6</v>
      </c>
      <c r="C248" s="14">
        <v>4.8000000000000001E-2</v>
      </c>
      <c r="D248" s="68">
        <v>6.4000000000000001E-2</v>
      </c>
      <c r="E248" s="33">
        <v>5.6000000000000001E-2</v>
      </c>
      <c r="F248" s="17">
        <v>6.0999999999999999E-2</v>
      </c>
      <c r="G248" s="35">
        <v>6.3E-2</v>
      </c>
      <c r="H248" s="15">
        <v>0.05</v>
      </c>
      <c r="I248" s="17">
        <v>6.0999999999999999E-2</v>
      </c>
      <c r="J248" s="33">
        <v>5.5E-2</v>
      </c>
      <c r="K248" s="17">
        <v>6.0999999999999999E-2</v>
      </c>
      <c r="L248" s="33">
        <v>5.3999999999999999E-2</v>
      </c>
      <c r="M248" s="15">
        <v>0.05</v>
      </c>
      <c r="N248" s="15">
        <v>4.9000000000000002E-2</v>
      </c>
      <c r="O248" s="18" t="s">
        <v>38</v>
      </c>
    </row>
    <row r="249" spans="2:15" x14ac:dyDescent="0.2">
      <c r="B249" s="133"/>
      <c r="C249" s="21">
        <v>4.2999999999999997E-2</v>
      </c>
      <c r="D249" s="39">
        <v>5.7000000000000002E-2</v>
      </c>
      <c r="E249" s="23">
        <v>0.05</v>
      </c>
      <c r="F249" s="22">
        <v>5.6000000000000001E-2</v>
      </c>
      <c r="G249" s="39">
        <v>5.8000000000000003E-2</v>
      </c>
      <c r="H249" s="26">
        <v>4.7E-2</v>
      </c>
      <c r="I249" s="39">
        <v>5.7000000000000002E-2</v>
      </c>
      <c r="J249" s="25">
        <v>4.9000000000000002E-2</v>
      </c>
      <c r="K249" s="22">
        <v>5.5E-2</v>
      </c>
      <c r="L249" s="25">
        <v>4.9000000000000002E-2</v>
      </c>
      <c r="M249" s="21">
        <v>4.3999999999999997E-2</v>
      </c>
      <c r="N249" s="21">
        <v>4.3999999999999997E-2</v>
      </c>
      <c r="O249" s="18" t="s">
        <v>39</v>
      </c>
    </row>
    <row r="250" spans="2:15" x14ac:dyDescent="0.2">
      <c r="B250" s="133"/>
      <c r="C250" s="23">
        <v>3.1E-2</v>
      </c>
      <c r="D250" s="31">
        <v>3.6999999999999998E-2</v>
      </c>
      <c r="E250" s="24">
        <v>3.3000000000000002E-2</v>
      </c>
      <c r="F250" s="23">
        <v>2.8000000000000001E-2</v>
      </c>
      <c r="G250" s="25">
        <v>2.7E-2</v>
      </c>
      <c r="H250" s="20">
        <v>1.9E-2</v>
      </c>
      <c r="I250" s="26">
        <v>2.1999999999999999E-2</v>
      </c>
      <c r="J250" s="24">
        <v>3.2000000000000001E-2</v>
      </c>
      <c r="K250" s="24">
        <v>3.2000000000000001E-2</v>
      </c>
      <c r="L250" s="23">
        <v>0.03</v>
      </c>
      <c r="M250" s="24">
        <v>3.3000000000000002E-2</v>
      </c>
      <c r="N250" s="23">
        <v>3.1E-2</v>
      </c>
      <c r="O250" s="18" t="s">
        <v>40</v>
      </c>
    </row>
    <row r="251" spans="2:15" x14ac:dyDescent="0.2">
      <c r="B251" s="133"/>
      <c r="C251" s="19">
        <v>4.1000000000000002E-2</v>
      </c>
      <c r="D251" s="26">
        <v>0.41</v>
      </c>
      <c r="E251" s="23">
        <v>0.623</v>
      </c>
      <c r="F251" s="22">
        <v>0.87</v>
      </c>
      <c r="G251" s="23">
        <v>0.59699999999999998</v>
      </c>
      <c r="H251" s="21">
        <v>0.222</v>
      </c>
      <c r="I251" s="36">
        <v>1.048</v>
      </c>
      <c r="J251" s="21">
        <v>0.21199999999999999</v>
      </c>
      <c r="K251" s="31">
        <v>0.79200000000000004</v>
      </c>
      <c r="L251" s="20">
        <v>0.26</v>
      </c>
      <c r="M251" s="19">
        <v>5.6000000000000001E-2</v>
      </c>
      <c r="N251" s="19">
        <v>4.1000000000000002E-2</v>
      </c>
      <c r="O251" s="18">
        <v>570</v>
      </c>
    </row>
    <row r="252" spans="2:15" x14ac:dyDescent="0.2">
      <c r="B252" s="134"/>
      <c r="C252" s="27">
        <v>1.3480000000000001</v>
      </c>
      <c r="D252" s="27">
        <v>11.026</v>
      </c>
      <c r="E252" s="27">
        <v>19.015999999999998</v>
      </c>
      <c r="F252" s="27">
        <v>30.702000000000002</v>
      </c>
      <c r="G252" s="27">
        <v>21.937999999999999</v>
      </c>
      <c r="H252" s="27">
        <v>11.763999999999999</v>
      </c>
      <c r="I252" s="27">
        <v>47.173999999999999</v>
      </c>
      <c r="J252" s="27">
        <v>6.6849999999999996</v>
      </c>
      <c r="K252" s="27">
        <v>24.567</v>
      </c>
      <c r="L252" s="27">
        <v>8.67</v>
      </c>
      <c r="M252" s="27">
        <v>1.6919999999999999</v>
      </c>
      <c r="N252" s="27">
        <v>1.321</v>
      </c>
      <c r="O252" s="18" t="s">
        <v>41</v>
      </c>
    </row>
    <row r="253" spans="2:15" x14ac:dyDescent="0.2">
      <c r="B253" s="132" t="s">
        <v>7</v>
      </c>
      <c r="C253" s="29">
        <v>5.2999999999999999E-2</v>
      </c>
      <c r="D253" s="64">
        <v>5.8000000000000003E-2</v>
      </c>
      <c r="E253" s="14">
        <v>4.9000000000000002E-2</v>
      </c>
      <c r="F253" s="35">
        <v>6.2E-2</v>
      </c>
      <c r="G253" s="38">
        <v>6.8000000000000005E-2</v>
      </c>
      <c r="H253" s="34">
        <v>5.7000000000000002E-2</v>
      </c>
      <c r="I253" s="68">
        <v>6.4000000000000001E-2</v>
      </c>
      <c r="J253" s="15">
        <v>5.0999999999999997E-2</v>
      </c>
      <c r="K253" s="34">
        <v>5.7000000000000002E-2</v>
      </c>
      <c r="L253" s="17">
        <v>6.0999999999999999E-2</v>
      </c>
      <c r="M253" s="38">
        <v>6.7000000000000004E-2</v>
      </c>
      <c r="N253" s="33">
        <v>5.5E-2</v>
      </c>
      <c r="O253" s="18" t="s">
        <v>38</v>
      </c>
    </row>
    <row r="254" spans="2:15" x14ac:dyDescent="0.2">
      <c r="B254" s="133"/>
      <c r="C254" s="25">
        <v>4.8000000000000001E-2</v>
      </c>
      <c r="D254" s="22">
        <v>5.5E-2</v>
      </c>
      <c r="E254" s="21">
        <v>4.3999999999999997E-2</v>
      </c>
      <c r="F254" s="39">
        <v>5.8000000000000003E-2</v>
      </c>
      <c r="G254" s="37">
        <v>6.5000000000000002E-2</v>
      </c>
      <c r="H254" s="24">
        <v>5.1999999999999998E-2</v>
      </c>
      <c r="I254" s="36">
        <v>0.06</v>
      </c>
      <c r="J254" s="20">
        <v>4.4999999999999998E-2</v>
      </c>
      <c r="K254" s="24">
        <v>5.1999999999999998E-2</v>
      </c>
      <c r="L254" s="22">
        <v>5.6000000000000001E-2</v>
      </c>
      <c r="M254" s="30">
        <v>6.3E-2</v>
      </c>
      <c r="N254" s="23">
        <v>4.9000000000000002E-2</v>
      </c>
      <c r="O254" s="18" t="s">
        <v>39</v>
      </c>
    </row>
    <row r="255" spans="2:15" x14ac:dyDescent="0.2">
      <c r="B255" s="133"/>
      <c r="C255" s="25">
        <v>2.7E-2</v>
      </c>
      <c r="D255" s="21">
        <v>1.7000000000000001E-2</v>
      </c>
      <c r="E255" s="23">
        <v>2.9000000000000001E-2</v>
      </c>
      <c r="F255" s="26">
        <v>2.1999999999999999E-2</v>
      </c>
      <c r="G255" s="21">
        <v>1.6E-2</v>
      </c>
      <c r="H255" s="25">
        <v>2.7E-2</v>
      </c>
      <c r="I255" s="26">
        <v>2.3E-2</v>
      </c>
      <c r="J255" s="23">
        <v>0.03</v>
      </c>
      <c r="K255" s="23">
        <v>2.9000000000000001E-2</v>
      </c>
      <c r="L255" s="24">
        <v>3.2000000000000001E-2</v>
      </c>
      <c r="M255" s="26">
        <v>2.1999999999999999E-2</v>
      </c>
      <c r="N255" s="23">
        <v>3.1E-2</v>
      </c>
      <c r="O255" s="18" t="s">
        <v>40</v>
      </c>
    </row>
    <row r="256" spans="2:15" x14ac:dyDescent="0.2">
      <c r="B256" s="133"/>
      <c r="C256" s="19">
        <v>4.8000000000000001E-2</v>
      </c>
      <c r="D256" s="32">
        <v>1.2090000000000001</v>
      </c>
      <c r="E256" s="19">
        <v>7.4999999999999997E-2</v>
      </c>
      <c r="F256" s="39">
        <v>0.94799999999999995</v>
      </c>
      <c r="G256" s="25">
        <v>0.49299999999999999</v>
      </c>
      <c r="H256" s="30">
        <v>1.2450000000000001</v>
      </c>
      <c r="I256" s="32">
        <v>1.1990000000000001</v>
      </c>
      <c r="J256" s="21">
        <v>0.19500000000000001</v>
      </c>
      <c r="K256" s="31">
        <v>0.80100000000000005</v>
      </c>
      <c r="L256" s="37">
        <v>1.427</v>
      </c>
      <c r="M256" s="22">
        <v>0.92200000000000004</v>
      </c>
      <c r="N256" s="19">
        <v>4.8000000000000001E-2</v>
      </c>
      <c r="O256" s="18">
        <v>570</v>
      </c>
    </row>
    <row r="257" spans="1:15" x14ac:dyDescent="0.2">
      <c r="B257" s="134"/>
      <c r="C257" s="27">
        <v>1.7809999999999999</v>
      </c>
      <c r="D257" s="27">
        <v>72.558000000000007</v>
      </c>
      <c r="E257" s="27">
        <v>2.5819999999999999</v>
      </c>
      <c r="F257" s="27">
        <v>42.66</v>
      </c>
      <c r="G257" s="27">
        <v>30.619</v>
      </c>
      <c r="H257" s="27">
        <v>45.746000000000002</v>
      </c>
      <c r="I257" s="27">
        <v>52.625999999999998</v>
      </c>
      <c r="J257" s="27">
        <v>6.5069999999999997</v>
      </c>
      <c r="K257" s="27">
        <v>27.736999999999998</v>
      </c>
      <c r="L257" s="27">
        <v>45.046999999999997</v>
      </c>
      <c r="M257" s="27">
        <v>42.576999999999998</v>
      </c>
      <c r="N257" s="27">
        <v>1.5740000000000001</v>
      </c>
      <c r="O257" s="18" t="s">
        <v>41</v>
      </c>
    </row>
    <row r="258" spans="1:15" x14ac:dyDescent="0.2">
      <c r="B258" s="132" t="s">
        <v>8</v>
      </c>
      <c r="C258" s="14">
        <v>4.9000000000000002E-2</v>
      </c>
      <c r="D258" s="29">
        <v>5.3999999999999999E-2</v>
      </c>
      <c r="E258" s="14">
        <v>4.9000000000000002E-2</v>
      </c>
      <c r="F258" s="64">
        <v>5.8000000000000003E-2</v>
      </c>
      <c r="G258" s="15">
        <v>0.05</v>
      </c>
      <c r="H258" s="15">
        <v>0.05</v>
      </c>
      <c r="I258" s="29">
        <v>5.2999999999999999E-2</v>
      </c>
      <c r="J258" s="65">
        <v>5.8999999999999997E-2</v>
      </c>
      <c r="K258" s="64">
        <v>5.8999999999999997E-2</v>
      </c>
      <c r="L258" s="15">
        <v>4.9000000000000002E-2</v>
      </c>
      <c r="M258" s="34">
        <v>5.6000000000000001E-2</v>
      </c>
      <c r="N258" s="16">
        <v>4.7E-2</v>
      </c>
      <c r="O258" s="18" t="s">
        <v>38</v>
      </c>
    </row>
    <row r="259" spans="1:15" x14ac:dyDescent="0.2">
      <c r="B259" s="133"/>
      <c r="C259" s="21">
        <v>4.2999999999999997E-2</v>
      </c>
      <c r="D259" s="23">
        <v>0.05</v>
      </c>
      <c r="E259" s="21">
        <v>4.3999999999999997E-2</v>
      </c>
      <c r="F259" s="22">
        <v>5.5E-2</v>
      </c>
      <c r="G259" s="21">
        <v>4.3999999999999997E-2</v>
      </c>
      <c r="H259" s="21">
        <v>4.3999999999999997E-2</v>
      </c>
      <c r="I259" s="26">
        <v>4.7E-2</v>
      </c>
      <c r="J259" s="22">
        <v>5.5E-2</v>
      </c>
      <c r="K259" s="31">
        <v>5.3999999999999999E-2</v>
      </c>
      <c r="L259" s="21">
        <v>4.3999999999999997E-2</v>
      </c>
      <c r="M259" s="23">
        <v>5.0999999999999997E-2</v>
      </c>
      <c r="N259" s="19">
        <v>4.2000000000000003E-2</v>
      </c>
      <c r="O259" s="18" t="s">
        <v>39</v>
      </c>
    </row>
    <row r="260" spans="1:15" x14ac:dyDescent="0.2">
      <c r="B260" s="133"/>
      <c r="C260" s="24">
        <v>3.2000000000000001E-2</v>
      </c>
      <c r="D260" s="26">
        <v>2.1999999999999999E-2</v>
      </c>
      <c r="E260" s="23">
        <v>2.8000000000000001E-2</v>
      </c>
      <c r="F260" s="20">
        <v>1.7999999999999999E-2</v>
      </c>
      <c r="G260" s="24">
        <v>3.2000000000000001E-2</v>
      </c>
      <c r="H260" s="24">
        <v>3.2000000000000001E-2</v>
      </c>
      <c r="I260" s="23">
        <v>3.1E-2</v>
      </c>
      <c r="J260" s="20">
        <v>0.02</v>
      </c>
      <c r="K260" s="26">
        <v>2.3E-2</v>
      </c>
      <c r="L260" s="23">
        <v>0.03</v>
      </c>
      <c r="M260" s="23">
        <v>2.9000000000000001E-2</v>
      </c>
      <c r="N260" s="23">
        <v>2.8000000000000001E-2</v>
      </c>
      <c r="O260" s="18" t="s">
        <v>40</v>
      </c>
    </row>
    <row r="261" spans="1:15" x14ac:dyDescent="0.2">
      <c r="B261" s="133"/>
      <c r="C261" s="19">
        <v>4.1000000000000002E-2</v>
      </c>
      <c r="D261" s="26">
        <v>0.38400000000000001</v>
      </c>
      <c r="E261" s="19">
        <v>4.3999999999999997E-2</v>
      </c>
      <c r="F261" s="36">
        <v>1.032</v>
      </c>
      <c r="G261" s="26">
        <v>0.34599999999999997</v>
      </c>
      <c r="H261" s="21">
        <v>0.23300000000000001</v>
      </c>
      <c r="I261" s="39">
        <v>1.018</v>
      </c>
      <c r="J261" s="24">
        <v>0.66800000000000004</v>
      </c>
      <c r="K261" s="31">
        <v>0.82699999999999996</v>
      </c>
      <c r="L261" s="20">
        <v>0.24199999999999999</v>
      </c>
      <c r="M261" s="22">
        <v>0.88400000000000001</v>
      </c>
      <c r="N261" s="19">
        <v>4.2000000000000003E-2</v>
      </c>
      <c r="O261" s="18">
        <v>570</v>
      </c>
    </row>
    <row r="262" spans="1:15" x14ac:dyDescent="0.2">
      <c r="B262" s="134"/>
      <c r="C262" s="27">
        <v>1.2789999999999999</v>
      </c>
      <c r="D262" s="27">
        <v>17.283999999999999</v>
      </c>
      <c r="E262" s="27">
        <v>1.5489999999999999</v>
      </c>
      <c r="F262" s="27">
        <v>58.061</v>
      </c>
      <c r="G262" s="27">
        <v>10.753</v>
      </c>
      <c r="H262" s="27">
        <v>7.3550000000000004</v>
      </c>
      <c r="I262" s="27">
        <v>33.332999999999998</v>
      </c>
      <c r="J262" s="27">
        <v>33.395000000000003</v>
      </c>
      <c r="K262" s="27">
        <v>35.447000000000003</v>
      </c>
      <c r="L262" s="27">
        <v>8.0670000000000002</v>
      </c>
      <c r="M262" s="27">
        <v>30.023</v>
      </c>
      <c r="N262" s="27">
        <v>1.4650000000000001</v>
      </c>
      <c r="O262" s="18" t="s">
        <v>41</v>
      </c>
    </row>
    <row r="263" spans="1:15" x14ac:dyDescent="0.2">
      <c r="B263" s="132" t="s">
        <v>9</v>
      </c>
      <c r="C263" s="14">
        <v>4.8000000000000001E-2</v>
      </c>
      <c r="D263" s="14">
        <v>4.9000000000000002E-2</v>
      </c>
      <c r="E263" s="16">
        <v>4.5999999999999999E-2</v>
      </c>
      <c r="F263" s="14">
        <v>4.9000000000000002E-2</v>
      </c>
      <c r="G263" s="14">
        <v>4.9000000000000002E-2</v>
      </c>
      <c r="H263" s="14">
        <v>4.8000000000000001E-2</v>
      </c>
      <c r="I263" s="14">
        <v>4.9000000000000002E-2</v>
      </c>
      <c r="J263" s="14">
        <v>4.8000000000000001E-2</v>
      </c>
      <c r="K263" s="15">
        <v>0.05</v>
      </c>
      <c r="L263" s="14">
        <v>4.8000000000000001E-2</v>
      </c>
      <c r="M263" s="14">
        <v>4.9000000000000002E-2</v>
      </c>
      <c r="N263" s="14">
        <v>4.9000000000000002E-2</v>
      </c>
      <c r="O263" s="18" t="s">
        <v>38</v>
      </c>
    </row>
    <row r="264" spans="1:15" x14ac:dyDescent="0.2">
      <c r="B264" s="133"/>
      <c r="C264" s="21">
        <v>4.2999999999999997E-2</v>
      </c>
      <c r="D264" s="21">
        <v>4.2999999999999997E-2</v>
      </c>
      <c r="E264" s="19">
        <v>4.1000000000000002E-2</v>
      </c>
      <c r="F264" s="21">
        <v>4.2999999999999997E-2</v>
      </c>
      <c r="G264" s="21">
        <v>4.2999999999999997E-2</v>
      </c>
      <c r="H264" s="21">
        <v>4.2000000000000003E-2</v>
      </c>
      <c r="I264" s="21">
        <v>4.2999999999999997E-2</v>
      </c>
      <c r="J264" s="21">
        <v>4.2999999999999997E-2</v>
      </c>
      <c r="K264" s="21">
        <v>4.2999999999999997E-2</v>
      </c>
      <c r="L264" s="21">
        <v>4.2999999999999997E-2</v>
      </c>
      <c r="M264" s="21">
        <v>4.2999999999999997E-2</v>
      </c>
      <c r="N264" s="21">
        <v>4.2999999999999997E-2</v>
      </c>
      <c r="O264" s="18" t="s">
        <v>39</v>
      </c>
    </row>
    <row r="265" spans="1:15" x14ac:dyDescent="0.2">
      <c r="B265" s="133"/>
      <c r="C265" s="23">
        <v>2.9000000000000001E-2</v>
      </c>
      <c r="D265" s="24">
        <v>3.3000000000000002E-2</v>
      </c>
      <c r="E265" s="25">
        <v>2.7E-2</v>
      </c>
      <c r="F265" s="24">
        <v>3.2000000000000001E-2</v>
      </c>
      <c r="G265" s="24">
        <v>3.3000000000000002E-2</v>
      </c>
      <c r="H265" s="24">
        <v>3.2000000000000001E-2</v>
      </c>
      <c r="I265" s="24">
        <v>3.3000000000000002E-2</v>
      </c>
      <c r="J265" s="23">
        <v>2.9000000000000001E-2</v>
      </c>
      <c r="K265" s="31">
        <v>3.7999999999999999E-2</v>
      </c>
      <c r="L265" s="23">
        <v>2.8000000000000001E-2</v>
      </c>
      <c r="M265" s="24">
        <v>3.3000000000000002E-2</v>
      </c>
      <c r="N265" s="23">
        <v>3.1E-2</v>
      </c>
      <c r="O265" s="18" t="s">
        <v>40</v>
      </c>
    </row>
    <row r="266" spans="1:15" x14ac:dyDescent="0.2">
      <c r="B266" s="133"/>
      <c r="C266" s="19">
        <v>4.2999999999999997E-2</v>
      </c>
      <c r="D266" s="19">
        <v>4.1000000000000002E-2</v>
      </c>
      <c r="E266" s="19">
        <v>4.1000000000000002E-2</v>
      </c>
      <c r="F266" s="19">
        <v>0.04</v>
      </c>
      <c r="G266" s="19">
        <v>4.2999999999999997E-2</v>
      </c>
      <c r="H266" s="19">
        <v>4.1000000000000002E-2</v>
      </c>
      <c r="I266" s="19">
        <v>0.04</v>
      </c>
      <c r="J266" s="19">
        <v>0.04</v>
      </c>
      <c r="K266" s="19">
        <v>4.1000000000000002E-2</v>
      </c>
      <c r="L266" s="19">
        <v>4.1000000000000002E-2</v>
      </c>
      <c r="M266" s="19">
        <v>4.1000000000000002E-2</v>
      </c>
      <c r="N266" s="19">
        <v>0.04</v>
      </c>
      <c r="O266" s="18">
        <v>570</v>
      </c>
    </row>
    <row r="267" spans="1:15" x14ac:dyDescent="0.2">
      <c r="B267" s="134"/>
      <c r="C267" s="27">
        <v>1.492</v>
      </c>
      <c r="D267" s="27">
        <v>1.2509999999999999</v>
      </c>
      <c r="E267" s="27">
        <v>1.5229999999999999</v>
      </c>
      <c r="F267" s="27">
        <v>1.248</v>
      </c>
      <c r="G267" s="27">
        <v>1.306</v>
      </c>
      <c r="H267" s="27">
        <v>1.276</v>
      </c>
      <c r="I267" s="27">
        <v>1.2330000000000001</v>
      </c>
      <c r="J267" s="27">
        <v>1.3979999999999999</v>
      </c>
      <c r="K267" s="27">
        <v>1.07</v>
      </c>
      <c r="L267" s="27">
        <v>1.4470000000000001</v>
      </c>
      <c r="M267" s="27">
        <v>1.2390000000000001</v>
      </c>
      <c r="N267" s="27">
        <v>1.2949999999999999</v>
      </c>
      <c r="O267" s="18" t="s">
        <v>41</v>
      </c>
    </row>
    <row r="270" spans="1:15" x14ac:dyDescent="0.2">
      <c r="A270" t="s">
        <v>10</v>
      </c>
      <c r="B270" t="s">
        <v>11</v>
      </c>
      <c r="D270" s="7" t="s">
        <v>86</v>
      </c>
      <c r="E270" s="40">
        <v>45380</v>
      </c>
      <c r="F270" s="7" t="s">
        <v>67</v>
      </c>
    </row>
    <row r="272" spans="1:15" x14ac:dyDescent="0.2">
      <c r="A272" t="s">
        <v>12</v>
      </c>
    </row>
    <row r="273" spans="1:2" x14ac:dyDescent="0.2">
      <c r="A273" t="s">
        <v>13</v>
      </c>
      <c r="B273" t="s">
        <v>14</v>
      </c>
    </row>
    <row r="274" spans="1:2" x14ac:dyDescent="0.2">
      <c r="A274" t="s">
        <v>15</v>
      </c>
      <c r="B274" t="s">
        <v>67</v>
      </c>
    </row>
    <row r="275" spans="1:2" x14ac:dyDescent="0.2">
      <c r="A275" t="s">
        <v>17</v>
      </c>
      <c r="B275" s="8">
        <v>45380</v>
      </c>
    </row>
    <row r="276" spans="1:2" x14ac:dyDescent="0.2">
      <c r="A276" t="s">
        <v>18</v>
      </c>
      <c r="B276" s="9">
        <v>0.61664351851851851</v>
      </c>
    </row>
    <row r="277" spans="1:2" x14ac:dyDescent="0.2">
      <c r="A277" t="s">
        <v>19</v>
      </c>
      <c r="B277" t="s">
        <v>20</v>
      </c>
    </row>
    <row r="278" spans="1:2" x14ac:dyDescent="0.2">
      <c r="A278" t="s">
        <v>21</v>
      </c>
      <c r="B278" t="s">
        <v>22</v>
      </c>
    </row>
    <row r="279" spans="1:2" x14ac:dyDescent="0.2">
      <c r="A279" t="s">
        <v>23</v>
      </c>
      <c r="B279" t="s">
        <v>24</v>
      </c>
    </row>
    <row r="281" spans="1:2" x14ac:dyDescent="0.2">
      <c r="A281" s="10" t="s">
        <v>25</v>
      </c>
      <c r="B281" s="11"/>
    </row>
    <row r="282" spans="1:2" x14ac:dyDescent="0.2">
      <c r="A282" t="s">
        <v>26</v>
      </c>
      <c r="B282" t="s">
        <v>27</v>
      </c>
    </row>
    <row r="283" spans="1:2" x14ac:dyDescent="0.2">
      <c r="A283" t="s">
        <v>28</v>
      </c>
    </row>
    <row r="284" spans="1:2" x14ac:dyDescent="0.2">
      <c r="A284" t="s">
        <v>29</v>
      </c>
      <c r="B284" t="s">
        <v>30</v>
      </c>
    </row>
    <row r="285" spans="1:2" x14ac:dyDescent="0.2">
      <c r="B285" t="s">
        <v>31</v>
      </c>
    </row>
    <row r="286" spans="1:2" x14ac:dyDescent="0.2">
      <c r="B286" t="s">
        <v>32</v>
      </c>
    </row>
    <row r="287" spans="1:2" x14ac:dyDescent="0.2">
      <c r="B287" t="s">
        <v>33</v>
      </c>
    </row>
    <row r="288" spans="1:2" x14ac:dyDescent="0.2">
      <c r="B288" t="s">
        <v>34</v>
      </c>
    </row>
    <row r="289" spans="1:15" x14ac:dyDescent="0.2">
      <c r="B289" t="s">
        <v>35</v>
      </c>
    </row>
    <row r="291" spans="1:15" x14ac:dyDescent="0.2">
      <c r="A291" s="10" t="s">
        <v>36</v>
      </c>
      <c r="B291" s="11"/>
    </row>
    <row r="292" spans="1:15" x14ac:dyDescent="0.2">
      <c r="A292" t="s">
        <v>37</v>
      </c>
      <c r="B292">
        <v>20</v>
      </c>
    </row>
    <row r="294" spans="1:15" x14ac:dyDescent="0.2">
      <c r="B294" s="12"/>
      <c r="C294" s="13">
        <v>1</v>
      </c>
      <c r="D294" s="13">
        <v>2</v>
      </c>
      <c r="E294" s="13">
        <v>3</v>
      </c>
      <c r="F294" s="13">
        <v>4</v>
      </c>
      <c r="G294" s="13">
        <v>5</v>
      </c>
      <c r="H294" s="13">
        <v>6</v>
      </c>
      <c r="I294" s="13">
        <v>7</v>
      </c>
      <c r="J294" s="13">
        <v>8</v>
      </c>
      <c r="K294" s="13">
        <v>9</v>
      </c>
      <c r="L294" s="13">
        <v>10</v>
      </c>
      <c r="M294" s="13">
        <v>11</v>
      </c>
      <c r="N294" s="13">
        <v>12</v>
      </c>
    </row>
    <row r="295" spans="1:15" x14ac:dyDescent="0.2">
      <c r="B295" s="132" t="s">
        <v>0</v>
      </c>
      <c r="C295" s="15">
        <v>4.9000000000000002E-2</v>
      </c>
      <c r="D295" s="15">
        <v>4.9000000000000002E-2</v>
      </c>
      <c r="E295" s="14">
        <v>4.7E-2</v>
      </c>
      <c r="F295" s="15">
        <v>4.9000000000000002E-2</v>
      </c>
      <c r="G295" s="16">
        <v>4.5999999999999999E-2</v>
      </c>
      <c r="H295" s="14">
        <v>4.8000000000000001E-2</v>
      </c>
      <c r="I295" s="14">
        <v>4.8000000000000001E-2</v>
      </c>
      <c r="J295" s="14">
        <v>4.7E-2</v>
      </c>
      <c r="K295" s="14">
        <v>4.8000000000000001E-2</v>
      </c>
      <c r="L295" s="16">
        <v>4.5999999999999999E-2</v>
      </c>
      <c r="M295" s="14">
        <v>4.8000000000000001E-2</v>
      </c>
      <c r="N295" s="15">
        <v>4.8000000000000001E-2</v>
      </c>
      <c r="O295" s="18" t="s">
        <v>38</v>
      </c>
    </row>
    <row r="296" spans="1:15" x14ac:dyDescent="0.2">
      <c r="B296" s="133"/>
      <c r="C296" s="20">
        <v>4.3999999999999997E-2</v>
      </c>
      <c r="D296" s="20">
        <v>4.2999999999999997E-2</v>
      </c>
      <c r="E296" s="21">
        <v>4.2000000000000003E-2</v>
      </c>
      <c r="F296" s="20">
        <v>4.2999999999999997E-2</v>
      </c>
      <c r="G296" s="19">
        <v>4.1000000000000002E-2</v>
      </c>
      <c r="H296" s="21">
        <v>4.2000000000000003E-2</v>
      </c>
      <c r="I296" s="21">
        <v>4.2000000000000003E-2</v>
      </c>
      <c r="J296" s="19">
        <v>4.1000000000000002E-2</v>
      </c>
      <c r="K296" s="21">
        <v>4.2999999999999997E-2</v>
      </c>
      <c r="L296" s="19">
        <v>0.04</v>
      </c>
      <c r="M296" s="21">
        <v>4.2999999999999997E-2</v>
      </c>
      <c r="N296" s="20">
        <v>4.2999999999999997E-2</v>
      </c>
      <c r="O296" s="18" t="s">
        <v>39</v>
      </c>
    </row>
    <row r="297" spans="1:15" x14ac:dyDescent="0.2">
      <c r="B297" s="133"/>
      <c r="C297" s="24">
        <v>3.1E-2</v>
      </c>
      <c r="D297" s="24">
        <v>3.2000000000000001E-2</v>
      </c>
      <c r="E297" s="23">
        <v>2.7E-2</v>
      </c>
      <c r="F297" s="31">
        <v>3.4000000000000002E-2</v>
      </c>
      <c r="G297" s="23">
        <v>2.8000000000000001E-2</v>
      </c>
      <c r="H297" s="24">
        <v>3.2000000000000001E-2</v>
      </c>
      <c r="I297" s="24">
        <v>3.2000000000000001E-2</v>
      </c>
      <c r="J297" s="24">
        <v>3.2000000000000001E-2</v>
      </c>
      <c r="K297" s="23">
        <v>2.8000000000000001E-2</v>
      </c>
      <c r="L297" s="31">
        <v>3.3000000000000002E-2</v>
      </c>
      <c r="M297" s="24">
        <v>2.9000000000000001E-2</v>
      </c>
      <c r="N297" s="23">
        <v>2.7E-2</v>
      </c>
      <c r="O297" s="18" t="s">
        <v>40</v>
      </c>
    </row>
    <row r="298" spans="1:15" x14ac:dyDescent="0.2">
      <c r="B298" s="133"/>
      <c r="C298" s="19">
        <v>4.1000000000000002E-2</v>
      </c>
      <c r="D298" s="19">
        <v>4.1000000000000002E-2</v>
      </c>
      <c r="E298" s="19">
        <v>4.1000000000000002E-2</v>
      </c>
      <c r="F298" s="19">
        <v>4.2000000000000003E-2</v>
      </c>
      <c r="G298" s="19">
        <v>0.04</v>
      </c>
      <c r="H298" s="19">
        <v>4.1000000000000002E-2</v>
      </c>
      <c r="I298" s="19">
        <v>4.1000000000000002E-2</v>
      </c>
      <c r="J298" s="19">
        <v>4.1000000000000002E-2</v>
      </c>
      <c r="K298" s="19">
        <v>4.1000000000000002E-2</v>
      </c>
      <c r="L298" s="19">
        <v>4.1000000000000002E-2</v>
      </c>
      <c r="M298" s="19">
        <v>0.04</v>
      </c>
      <c r="N298" s="19">
        <v>4.3999999999999997E-2</v>
      </c>
      <c r="O298" s="18">
        <v>570</v>
      </c>
    </row>
    <row r="299" spans="1:15" x14ac:dyDescent="0.2">
      <c r="B299" s="134"/>
      <c r="C299" s="27">
        <v>1.339</v>
      </c>
      <c r="D299" s="27">
        <v>1.276</v>
      </c>
      <c r="E299" s="27">
        <v>1.53</v>
      </c>
      <c r="F299" s="27">
        <v>1.228</v>
      </c>
      <c r="G299" s="27">
        <v>1.4219999999999999</v>
      </c>
      <c r="H299" s="27">
        <v>1.2949999999999999</v>
      </c>
      <c r="I299" s="27">
        <v>1.276</v>
      </c>
      <c r="J299" s="27">
        <v>1.298</v>
      </c>
      <c r="K299" s="27">
        <v>1.44</v>
      </c>
      <c r="L299" s="27">
        <v>1.2450000000000001</v>
      </c>
      <c r="M299" s="27">
        <v>1.3580000000000001</v>
      </c>
      <c r="N299" s="27">
        <v>1.613</v>
      </c>
      <c r="O299" s="18" t="s">
        <v>41</v>
      </c>
    </row>
    <row r="300" spans="1:15" x14ac:dyDescent="0.2">
      <c r="B300" s="132" t="s">
        <v>1</v>
      </c>
      <c r="C300" s="16">
        <v>4.5999999999999999E-2</v>
      </c>
      <c r="D300" s="29">
        <v>5.0999999999999997E-2</v>
      </c>
      <c r="E300" s="15">
        <v>4.9000000000000002E-2</v>
      </c>
      <c r="F300" s="28">
        <v>4.9000000000000002E-2</v>
      </c>
      <c r="G300" s="34">
        <v>5.2999999999999999E-2</v>
      </c>
      <c r="H300" s="28">
        <v>0.05</v>
      </c>
      <c r="I300" s="15">
        <v>4.9000000000000002E-2</v>
      </c>
      <c r="J300" s="15">
        <v>4.9000000000000002E-2</v>
      </c>
      <c r="K300" s="15">
        <v>4.8000000000000001E-2</v>
      </c>
      <c r="L300" s="15">
        <v>4.9000000000000002E-2</v>
      </c>
      <c r="M300" s="14">
        <v>4.7E-2</v>
      </c>
      <c r="N300" s="14">
        <v>4.7E-2</v>
      </c>
      <c r="O300" s="18" t="s">
        <v>38</v>
      </c>
    </row>
    <row r="301" spans="1:15" x14ac:dyDescent="0.2">
      <c r="B301" s="133"/>
      <c r="C301" s="21">
        <v>4.2000000000000003E-2</v>
      </c>
      <c r="D301" s="25">
        <v>4.5999999999999999E-2</v>
      </c>
      <c r="E301" s="26">
        <v>4.3999999999999997E-2</v>
      </c>
      <c r="F301" s="26">
        <v>4.4999999999999998E-2</v>
      </c>
      <c r="G301" s="24">
        <v>4.8000000000000001E-2</v>
      </c>
      <c r="H301" s="26">
        <v>4.4999999999999998E-2</v>
      </c>
      <c r="I301" s="20">
        <v>4.2999999999999997E-2</v>
      </c>
      <c r="J301" s="21">
        <v>4.2999999999999997E-2</v>
      </c>
      <c r="K301" s="21">
        <v>4.2000000000000003E-2</v>
      </c>
      <c r="L301" s="20">
        <v>4.3999999999999997E-2</v>
      </c>
      <c r="M301" s="19">
        <v>4.1000000000000002E-2</v>
      </c>
      <c r="N301" s="21">
        <v>4.2000000000000003E-2</v>
      </c>
      <c r="O301" s="18" t="s">
        <v>39</v>
      </c>
    </row>
    <row r="302" spans="1:15" x14ac:dyDescent="0.2">
      <c r="B302" s="133"/>
      <c r="C302" s="23">
        <v>2.5999999999999999E-2</v>
      </c>
      <c r="D302" s="24">
        <v>2.9000000000000001E-2</v>
      </c>
      <c r="E302" s="23">
        <v>2.7E-2</v>
      </c>
      <c r="F302" s="23">
        <v>2.5999999999999999E-2</v>
      </c>
      <c r="G302" s="23">
        <v>2.8000000000000001E-2</v>
      </c>
      <c r="H302" s="24">
        <v>0.03</v>
      </c>
      <c r="I302" s="24">
        <v>3.1E-2</v>
      </c>
      <c r="J302" s="31">
        <v>3.5999999999999997E-2</v>
      </c>
      <c r="K302" s="31">
        <v>3.3000000000000002E-2</v>
      </c>
      <c r="L302" s="23">
        <v>2.7E-2</v>
      </c>
      <c r="M302" s="31">
        <v>3.5999999999999997E-2</v>
      </c>
      <c r="N302" s="23">
        <v>2.8000000000000001E-2</v>
      </c>
      <c r="O302" s="18" t="s">
        <v>40</v>
      </c>
    </row>
    <row r="303" spans="1:15" x14ac:dyDescent="0.2">
      <c r="B303" s="133"/>
      <c r="C303" s="19">
        <v>4.2000000000000003E-2</v>
      </c>
      <c r="D303" s="37">
        <v>1.1060000000000001</v>
      </c>
      <c r="E303" s="20">
        <v>0.20300000000000001</v>
      </c>
      <c r="F303" s="19">
        <v>7.1999999999999995E-2</v>
      </c>
      <c r="G303" s="23">
        <v>0.45500000000000002</v>
      </c>
      <c r="H303" s="30">
        <v>1.0269999999999999</v>
      </c>
      <c r="I303" s="26">
        <v>0.35399999999999998</v>
      </c>
      <c r="J303" s="19">
        <v>4.2000000000000003E-2</v>
      </c>
      <c r="K303" s="20">
        <v>0.27500000000000002</v>
      </c>
      <c r="L303" s="32">
        <v>0.97499999999999998</v>
      </c>
      <c r="M303" s="19">
        <v>5.5E-2</v>
      </c>
      <c r="N303" s="19">
        <v>0.04</v>
      </c>
      <c r="O303" s="18">
        <v>570</v>
      </c>
    </row>
    <row r="304" spans="1:15" x14ac:dyDescent="0.2">
      <c r="B304" s="134"/>
      <c r="C304" s="27">
        <v>1.6240000000000001</v>
      </c>
      <c r="D304" s="27">
        <v>38.284999999999997</v>
      </c>
      <c r="E304" s="27">
        <v>7.476</v>
      </c>
      <c r="F304" s="27">
        <v>2.8130000000000002</v>
      </c>
      <c r="G304" s="27">
        <v>16.041</v>
      </c>
      <c r="H304" s="27">
        <v>34.243000000000002</v>
      </c>
      <c r="I304" s="27">
        <v>11.369</v>
      </c>
      <c r="J304" s="27">
        <v>1.19</v>
      </c>
      <c r="K304" s="27">
        <v>8.2560000000000002</v>
      </c>
      <c r="L304" s="27">
        <v>36.543999999999997</v>
      </c>
      <c r="M304" s="27">
        <v>1.5580000000000001</v>
      </c>
      <c r="N304" s="27">
        <v>1.419</v>
      </c>
      <c r="O304" s="18" t="s">
        <v>41</v>
      </c>
    </row>
    <row r="305" spans="2:15" x14ac:dyDescent="0.2">
      <c r="B305" s="132" t="s">
        <v>3</v>
      </c>
      <c r="C305" s="15">
        <v>4.9000000000000002E-2</v>
      </c>
      <c r="D305" s="28">
        <v>0.05</v>
      </c>
      <c r="E305" s="38">
        <v>6.2E-2</v>
      </c>
      <c r="F305" s="68">
        <v>5.8999999999999997E-2</v>
      </c>
      <c r="G305" s="28">
        <v>0.05</v>
      </c>
      <c r="H305" s="14">
        <v>4.8000000000000001E-2</v>
      </c>
      <c r="I305" s="34">
        <v>5.3999999999999999E-2</v>
      </c>
      <c r="J305" s="14">
        <v>4.7E-2</v>
      </c>
      <c r="K305" s="15">
        <v>4.9000000000000002E-2</v>
      </c>
      <c r="L305" s="14">
        <v>4.7E-2</v>
      </c>
      <c r="M305" s="29">
        <v>5.0999999999999997E-2</v>
      </c>
      <c r="N305" s="14">
        <v>4.8000000000000001E-2</v>
      </c>
      <c r="O305" s="18" t="s">
        <v>38</v>
      </c>
    </row>
    <row r="306" spans="2:15" x14ac:dyDescent="0.2">
      <c r="B306" s="133"/>
      <c r="C306" s="20">
        <v>4.2999999999999997E-2</v>
      </c>
      <c r="D306" s="26">
        <v>4.3999999999999997E-2</v>
      </c>
      <c r="E306" s="39">
        <v>5.2999999999999999E-2</v>
      </c>
      <c r="F306" s="36">
        <v>5.3999999999999999E-2</v>
      </c>
      <c r="G306" s="26">
        <v>4.3999999999999997E-2</v>
      </c>
      <c r="H306" s="20">
        <v>4.2999999999999997E-2</v>
      </c>
      <c r="I306" s="24">
        <v>4.8000000000000001E-2</v>
      </c>
      <c r="J306" s="21">
        <v>4.2000000000000003E-2</v>
      </c>
      <c r="K306" s="26">
        <v>4.4999999999999998E-2</v>
      </c>
      <c r="L306" s="21">
        <v>4.2000000000000003E-2</v>
      </c>
      <c r="M306" s="26">
        <v>4.4999999999999998E-2</v>
      </c>
      <c r="N306" s="21">
        <v>4.2000000000000003E-2</v>
      </c>
      <c r="O306" s="18" t="s">
        <v>39</v>
      </c>
    </row>
    <row r="307" spans="2:15" x14ac:dyDescent="0.2">
      <c r="B307" s="133"/>
      <c r="C307" s="24">
        <v>3.1E-2</v>
      </c>
      <c r="D307" s="23">
        <v>2.8000000000000001E-2</v>
      </c>
      <c r="E307" s="30">
        <v>5.1999999999999998E-2</v>
      </c>
      <c r="F307" s="23">
        <v>2.7E-2</v>
      </c>
      <c r="G307" s="23">
        <v>2.8000000000000001E-2</v>
      </c>
      <c r="H307" s="23">
        <v>2.7E-2</v>
      </c>
      <c r="I307" s="24">
        <v>3.1E-2</v>
      </c>
      <c r="J307" s="24">
        <v>3.1E-2</v>
      </c>
      <c r="K307" s="25">
        <v>2.4E-2</v>
      </c>
      <c r="L307" s="24">
        <v>0.03</v>
      </c>
      <c r="M307" s="31">
        <v>3.3000000000000002E-2</v>
      </c>
      <c r="N307" s="24">
        <v>2.9000000000000001E-2</v>
      </c>
      <c r="O307" s="18" t="s">
        <v>40</v>
      </c>
    </row>
    <row r="308" spans="2:15" x14ac:dyDescent="0.2">
      <c r="B308" s="133"/>
      <c r="C308" s="19">
        <v>4.1000000000000002E-2</v>
      </c>
      <c r="D308" s="20">
        <v>0.224</v>
      </c>
      <c r="E308" s="26">
        <v>0.32800000000000001</v>
      </c>
      <c r="F308" s="21">
        <v>0.19800000000000001</v>
      </c>
      <c r="G308" s="23">
        <v>0.46800000000000003</v>
      </c>
      <c r="H308" s="21">
        <v>0.13600000000000001</v>
      </c>
      <c r="I308" s="20">
        <v>0.214</v>
      </c>
      <c r="J308" s="19">
        <v>4.9000000000000002E-2</v>
      </c>
      <c r="K308" s="20">
        <v>0.254</v>
      </c>
      <c r="L308" s="21">
        <v>0.156</v>
      </c>
      <c r="M308" s="26">
        <v>0.32100000000000001</v>
      </c>
      <c r="N308" s="19">
        <v>4.1000000000000002E-2</v>
      </c>
      <c r="O308" s="18">
        <v>570</v>
      </c>
    </row>
    <row r="309" spans="2:15" x14ac:dyDescent="0.2">
      <c r="B309" s="134"/>
      <c r="C309" s="27">
        <v>1.355</v>
      </c>
      <c r="D309" s="27">
        <v>7.899</v>
      </c>
      <c r="E309" s="27">
        <v>6.2830000000000004</v>
      </c>
      <c r="F309" s="27">
        <v>7.2619999999999996</v>
      </c>
      <c r="G309" s="27">
        <v>16.510999999999999</v>
      </c>
      <c r="H309" s="27">
        <v>4.992</v>
      </c>
      <c r="I309" s="27">
        <v>6.8819999999999997</v>
      </c>
      <c r="J309" s="27">
        <v>1.613</v>
      </c>
      <c r="K309" s="27">
        <v>10.648999999999999</v>
      </c>
      <c r="L309" s="27">
        <v>5.2130000000000001</v>
      </c>
      <c r="M309" s="27">
        <v>9.6150000000000002</v>
      </c>
      <c r="N309" s="27">
        <v>1.4159999999999999</v>
      </c>
      <c r="O309" s="18" t="s">
        <v>41</v>
      </c>
    </row>
    <row r="310" spans="2:15" x14ac:dyDescent="0.2">
      <c r="B310" s="132" t="s">
        <v>5</v>
      </c>
      <c r="C310" s="15">
        <v>4.9000000000000002E-2</v>
      </c>
      <c r="D310" s="29">
        <v>5.1999999999999998E-2</v>
      </c>
      <c r="E310" s="28">
        <v>0.05</v>
      </c>
      <c r="F310" s="68">
        <v>5.8999999999999997E-2</v>
      </c>
      <c r="G310" s="68">
        <v>5.8999999999999997E-2</v>
      </c>
      <c r="H310" s="34">
        <v>5.3999999999999999E-2</v>
      </c>
      <c r="I310" s="29">
        <v>5.0999999999999997E-2</v>
      </c>
      <c r="J310" s="28">
        <v>0.05</v>
      </c>
      <c r="K310" s="65">
        <v>5.6000000000000001E-2</v>
      </c>
      <c r="L310" s="64">
        <v>5.3999999999999999E-2</v>
      </c>
      <c r="M310" s="28">
        <v>0.05</v>
      </c>
      <c r="N310" s="15">
        <v>4.8000000000000001E-2</v>
      </c>
      <c r="O310" s="18" t="s">
        <v>38</v>
      </c>
    </row>
    <row r="311" spans="2:15" x14ac:dyDescent="0.2">
      <c r="B311" s="133"/>
      <c r="C311" s="20">
        <v>4.3999999999999997E-2</v>
      </c>
      <c r="D311" s="25">
        <v>4.5999999999999999E-2</v>
      </c>
      <c r="E311" s="26">
        <v>4.3999999999999997E-2</v>
      </c>
      <c r="F311" s="39">
        <v>5.2999999999999999E-2</v>
      </c>
      <c r="G311" s="36">
        <v>5.3999999999999999E-2</v>
      </c>
      <c r="H311" s="24">
        <v>4.9000000000000002E-2</v>
      </c>
      <c r="I311" s="23">
        <v>4.7E-2</v>
      </c>
      <c r="J311" s="26">
        <v>4.3999999999999997E-2</v>
      </c>
      <c r="K311" s="31">
        <v>5.0999999999999997E-2</v>
      </c>
      <c r="L311" s="24">
        <v>4.9000000000000002E-2</v>
      </c>
      <c r="M311" s="26">
        <v>4.3999999999999997E-2</v>
      </c>
      <c r="N311" s="20">
        <v>4.2999999999999997E-2</v>
      </c>
      <c r="O311" s="18" t="s">
        <v>39</v>
      </c>
    </row>
    <row r="312" spans="2:15" x14ac:dyDescent="0.2">
      <c r="B312" s="133"/>
      <c r="C312" s="24">
        <v>3.1E-2</v>
      </c>
      <c r="D312" s="24">
        <v>0.03</v>
      </c>
      <c r="E312" s="31">
        <v>3.3000000000000002E-2</v>
      </c>
      <c r="F312" s="31">
        <v>3.5000000000000003E-2</v>
      </c>
      <c r="G312" s="24">
        <v>2.9000000000000001E-2</v>
      </c>
      <c r="H312" s="24">
        <v>3.1E-2</v>
      </c>
      <c r="I312" s="23">
        <v>2.7E-2</v>
      </c>
      <c r="J312" s="24">
        <v>3.2000000000000001E-2</v>
      </c>
      <c r="K312" s="24">
        <v>2.9000000000000001E-2</v>
      </c>
      <c r="L312" s="24">
        <v>3.1E-2</v>
      </c>
      <c r="M312" s="31">
        <v>3.4000000000000002E-2</v>
      </c>
      <c r="N312" s="24">
        <v>3.1E-2</v>
      </c>
      <c r="O312" s="18" t="s">
        <v>40</v>
      </c>
    </row>
    <row r="313" spans="2:15" x14ac:dyDescent="0.2">
      <c r="B313" s="133"/>
      <c r="C313" s="19">
        <v>4.2000000000000003E-2</v>
      </c>
      <c r="D313" s="37">
        <v>1.1120000000000001</v>
      </c>
      <c r="E313" s="23">
        <v>0.49</v>
      </c>
      <c r="F313" s="39">
        <v>0.78</v>
      </c>
      <c r="G313" s="23">
        <v>0.52400000000000002</v>
      </c>
      <c r="H313" s="30">
        <v>1.0840000000000001</v>
      </c>
      <c r="I313" s="36">
        <v>0.85899999999999999</v>
      </c>
      <c r="J313" s="19">
        <v>0.1</v>
      </c>
      <c r="K313" s="22">
        <v>0.71</v>
      </c>
      <c r="L313" s="30">
        <v>1.083</v>
      </c>
      <c r="M313" s="20">
        <v>0.254</v>
      </c>
      <c r="N313" s="19">
        <v>4.1000000000000002E-2</v>
      </c>
      <c r="O313" s="18">
        <v>570</v>
      </c>
    </row>
    <row r="314" spans="2:15" x14ac:dyDescent="0.2">
      <c r="B314" s="134"/>
      <c r="C314" s="27">
        <v>1.3580000000000001</v>
      </c>
      <c r="D314" s="27">
        <v>37.08</v>
      </c>
      <c r="E314" s="27">
        <v>14.943</v>
      </c>
      <c r="F314" s="27">
        <v>22.289000000000001</v>
      </c>
      <c r="G314" s="27">
        <v>18.138000000000002</v>
      </c>
      <c r="H314" s="27">
        <v>35.482999999999997</v>
      </c>
      <c r="I314" s="27">
        <v>32.209000000000003</v>
      </c>
      <c r="J314" s="27">
        <v>3.1</v>
      </c>
      <c r="K314" s="27">
        <v>24.123000000000001</v>
      </c>
      <c r="L314" s="27">
        <v>35.433999999999997</v>
      </c>
      <c r="M314" s="27">
        <v>7.3739999999999997</v>
      </c>
      <c r="N314" s="27">
        <v>1.355</v>
      </c>
      <c r="O314" s="18" t="s">
        <v>41</v>
      </c>
    </row>
    <row r="315" spans="2:15" x14ac:dyDescent="0.2">
      <c r="B315" s="132" t="s">
        <v>6</v>
      </c>
      <c r="C315" s="16">
        <v>4.7E-2</v>
      </c>
      <c r="D315" s="28">
        <v>0.05</v>
      </c>
      <c r="E315" s="28">
        <v>0.05</v>
      </c>
      <c r="F315" s="17">
        <v>5.7000000000000002E-2</v>
      </c>
      <c r="G315" s="38">
        <v>6.2E-2</v>
      </c>
      <c r="H315" s="28">
        <v>0.05</v>
      </c>
      <c r="I315" s="17">
        <v>5.7000000000000002E-2</v>
      </c>
      <c r="J315" s="33">
        <v>5.2999999999999999E-2</v>
      </c>
      <c r="K315" s="66">
        <v>6.0999999999999999E-2</v>
      </c>
      <c r="L315" s="29">
        <v>5.0999999999999997E-2</v>
      </c>
      <c r="M315" s="28">
        <v>0.05</v>
      </c>
      <c r="N315" s="29">
        <v>5.0999999999999997E-2</v>
      </c>
      <c r="O315" s="18" t="s">
        <v>38</v>
      </c>
    </row>
    <row r="316" spans="2:15" x14ac:dyDescent="0.2">
      <c r="B316" s="133"/>
      <c r="C316" s="21">
        <v>4.2000000000000003E-2</v>
      </c>
      <c r="D316" s="20">
        <v>4.3999999999999997E-2</v>
      </c>
      <c r="E316" s="26">
        <v>4.3999999999999997E-2</v>
      </c>
      <c r="F316" s="39">
        <v>5.1999999999999998E-2</v>
      </c>
      <c r="G316" s="37">
        <v>5.8000000000000003E-2</v>
      </c>
      <c r="H316" s="25">
        <v>4.4999999999999998E-2</v>
      </c>
      <c r="I316" s="39">
        <v>5.1999999999999998E-2</v>
      </c>
      <c r="J316" s="25">
        <v>4.5999999999999999E-2</v>
      </c>
      <c r="K316" s="22">
        <v>5.0999999999999997E-2</v>
      </c>
      <c r="L316" s="26">
        <v>4.4999999999999998E-2</v>
      </c>
      <c r="M316" s="20">
        <v>4.3999999999999997E-2</v>
      </c>
      <c r="N316" s="25">
        <v>4.4999999999999998E-2</v>
      </c>
      <c r="O316" s="18" t="s">
        <v>39</v>
      </c>
    </row>
    <row r="317" spans="2:15" x14ac:dyDescent="0.2">
      <c r="B317" s="133"/>
      <c r="C317" s="23">
        <v>2.7E-2</v>
      </c>
      <c r="D317" s="24">
        <v>3.2000000000000001E-2</v>
      </c>
      <c r="E317" s="24">
        <v>0.03</v>
      </c>
      <c r="F317" s="24">
        <v>0.03</v>
      </c>
      <c r="G317" s="25">
        <v>2.1999999999999999E-2</v>
      </c>
      <c r="H317" s="23">
        <v>2.8000000000000001E-2</v>
      </c>
      <c r="I317" s="23">
        <v>2.7E-2</v>
      </c>
      <c r="J317" s="22">
        <v>3.6999999999999998E-2</v>
      </c>
      <c r="K317" s="37">
        <v>5.6000000000000001E-2</v>
      </c>
      <c r="L317" s="31">
        <v>3.4000000000000002E-2</v>
      </c>
      <c r="M317" s="31">
        <v>3.4000000000000002E-2</v>
      </c>
      <c r="N317" s="24">
        <v>3.2000000000000001E-2</v>
      </c>
      <c r="O317" s="18" t="s">
        <v>40</v>
      </c>
    </row>
    <row r="318" spans="2:15" x14ac:dyDescent="0.2">
      <c r="B318" s="133"/>
      <c r="C318" s="19">
        <v>4.2000000000000003E-2</v>
      </c>
      <c r="D318" s="21">
        <v>0.17799999999999999</v>
      </c>
      <c r="E318" s="24">
        <v>0.57299999999999995</v>
      </c>
      <c r="F318" s="22">
        <v>0.754</v>
      </c>
      <c r="G318" s="24">
        <v>0.60299999999999998</v>
      </c>
      <c r="H318" s="21">
        <v>0.17499999999999999</v>
      </c>
      <c r="I318" s="36">
        <v>0.88500000000000001</v>
      </c>
      <c r="J318" s="21">
        <v>0.13100000000000001</v>
      </c>
      <c r="K318" s="24">
        <v>0.59699999999999998</v>
      </c>
      <c r="L318" s="21">
        <v>0.14899999999999999</v>
      </c>
      <c r="M318" s="19">
        <v>4.9000000000000002E-2</v>
      </c>
      <c r="N318" s="19">
        <v>4.2999999999999997E-2</v>
      </c>
      <c r="O318" s="18">
        <v>570</v>
      </c>
    </row>
    <row r="319" spans="2:15" x14ac:dyDescent="0.2">
      <c r="B319" s="134"/>
      <c r="C319" s="27">
        <v>1.556</v>
      </c>
      <c r="D319" s="27">
        <v>5.5330000000000004</v>
      </c>
      <c r="E319" s="27">
        <v>19.11</v>
      </c>
      <c r="F319" s="27">
        <v>25.137</v>
      </c>
      <c r="G319" s="27">
        <v>27.152999999999999</v>
      </c>
      <c r="H319" s="27">
        <v>6.18</v>
      </c>
      <c r="I319" s="27">
        <v>32.524999999999999</v>
      </c>
      <c r="J319" s="27">
        <v>3.5750000000000002</v>
      </c>
      <c r="K319" s="27">
        <v>10.635999999999999</v>
      </c>
      <c r="L319" s="27">
        <v>4.4059999999999997</v>
      </c>
      <c r="M319" s="27">
        <v>1.4370000000000001</v>
      </c>
      <c r="N319" s="27">
        <v>1.3520000000000001</v>
      </c>
      <c r="O319" s="18" t="s">
        <v>41</v>
      </c>
    </row>
    <row r="320" spans="2:15" x14ac:dyDescent="0.2">
      <c r="B320" s="132" t="s">
        <v>7</v>
      </c>
      <c r="C320" s="16">
        <v>4.5999999999999999E-2</v>
      </c>
      <c r="D320" s="29">
        <v>5.0999999999999997E-2</v>
      </c>
      <c r="E320" s="14">
        <v>4.7E-2</v>
      </c>
      <c r="F320" s="15">
        <v>4.8000000000000001E-2</v>
      </c>
      <c r="G320" s="68">
        <v>5.8999999999999997E-2</v>
      </c>
      <c r="H320" s="33">
        <v>5.2999999999999999E-2</v>
      </c>
      <c r="I320" s="34">
        <v>5.2999999999999999E-2</v>
      </c>
      <c r="J320" s="28">
        <v>0.05</v>
      </c>
      <c r="K320" s="38">
        <v>6.2E-2</v>
      </c>
      <c r="L320" s="64">
        <v>5.5E-2</v>
      </c>
      <c r="M320" s="38">
        <v>6.2E-2</v>
      </c>
      <c r="N320" s="29">
        <v>5.0999999999999997E-2</v>
      </c>
      <c r="O320" s="18" t="s">
        <v>38</v>
      </c>
    </row>
    <row r="321" spans="2:15" x14ac:dyDescent="0.2">
      <c r="B321" s="133"/>
      <c r="C321" s="21">
        <v>4.2000000000000003E-2</v>
      </c>
      <c r="D321" s="26">
        <v>4.4999999999999998E-2</v>
      </c>
      <c r="E321" s="21">
        <v>4.2000000000000003E-2</v>
      </c>
      <c r="F321" s="20">
        <v>4.3999999999999997E-2</v>
      </c>
      <c r="G321" s="37">
        <v>5.8000000000000003E-2</v>
      </c>
      <c r="H321" s="23">
        <v>4.7E-2</v>
      </c>
      <c r="I321" s="23">
        <v>4.7E-2</v>
      </c>
      <c r="J321" s="20">
        <v>4.3999999999999997E-2</v>
      </c>
      <c r="K321" s="30">
        <v>5.7000000000000002E-2</v>
      </c>
      <c r="L321" s="24">
        <v>4.8000000000000001E-2</v>
      </c>
      <c r="M321" s="30">
        <v>5.7000000000000002E-2</v>
      </c>
      <c r="N321" s="25">
        <v>4.5999999999999999E-2</v>
      </c>
      <c r="O321" s="18" t="s">
        <v>39</v>
      </c>
    </row>
    <row r="322" spans="2:15" x14ac:dyDescent="0.2">
      <c r="B322" s="133"/>
      <c r="C322" s="25">
        <v>2.5000000000000001E-2</v>
      </c>
      <c r="D322" s="24">
        <v>3.2000000000000001E-2</v>
      </c>
      <c r="E322" s="24">
        <v>2.9000000000000001E-2</v>
      </c>
      <c r="F322" s="23">
        <v>2.5999999999999999E-2</v>
      </c>
      <c r="G322" s="19">
        <v>8.0000000000000002E-3</v>
      </c>
      <c r="H322" s="24">
        <v>3.1E-2</v>
      </c>
      <c r="I322" s="31">
        <v>3.3000000000000002E-2</v>
      </c>
      <c r="J322" s="24">
        <v>3.2000000000000001E-2</v>
      </c>
      <c r="K322" s="23">
        <v>2.7E-2</v>
      </c>
      <c r="L322" s="31">
        <v>3.5000000000000003E-2</v>
      </c>
      <c r="M322" s="23">
        <v>2.8000000000000001E-2</v>
      </c>
      <c r="N322" s="31">
        <v>3.3000000000000002E-2</v>
      </c>
      <c r="O322" s="18" t="s">
        <v>40</v>
      </c>
    </row>
    <row r="323" spans="2:15" x14ac:dyDescent="0.2">
      <c r="B323" s="133"/>
      <c r="C323" s="19">
        <v>4.2000000000000003E-2</v>
      </c>
      <c r="D323" s="37">
        <v>1.147</v>
      </c>
      <c r="E323" s="19">
        <v>6.8000000000000005E-2</v>
      </c>
      <c r="F323" s="22">
        <v>0.76300000000000001</v>
      </c>
      <c r="G323" s="25">
        <v>0.4</v>
      </c>
      <c r="H323" s="37">
        <v>1.177</v>
      </c>
      <c r="I323" s="32">
        <v>1.014</v>
      </c>
      <c r="J323" s="19">
        <v>0.11899999999999999</v>
      </c>
      <c r="K323" s="22">
        <v>0.70199999999999996</v>
      </c>
      <c r="L323" s="37">
        <v>1.137</v>
      </c>
      <c r="M323" s="39">
        <v>0.82399999999999995</v>
      </c>
      <c r="N323" s="19">
        <v>4.2999999999999997E-2</v>
      </c>
      <c r="O323" s="18">
        <v>570</v>
      </c>
    </row>
    <row r="324" spans="2:15" x14ac:dyDescent="0.2">
      <c r="B324" s="134"/>
      <c r="C324" s="27">
        <v>1.6679999999999999</v>
      </c>
      <c r="D324" s="27">
        <v>35.584000000000003</v>
      </c>
      <c r="E324" s="27">
        <v>2.343</v>
      </c>
      <c r="F324" s="27">
        <v>29.225000000000001</v>
      </c>
      <c r="G324" s="27">
        <v>48.036000000000001</v>
      </c>
      <c r="H324" s="27">
        <v>38.536000000000001</v>
      </c>
      <c r="I324" s="27">
        <v>30.939</v>
      </c>
      <c r="J324" s="27">
        <v>3.7610000000000001</v>
      </c>
      <c r="K324" s="27">
        <v>26.31</v>
      </c>
      <c r="L324" s="27">
        <v>32.470999999999997</v>
      </c>
      <c r="M324" s="27">
        <v>29.675000000000001</v>
      </c>
      <c r="N324" s="27">
        <v>1.3180000000000001</v>
      </c>
      <c r="O324" s="18" t="s">
        <v>41</v>
      </c>
    </row>
    <row r="325" spans="2:15" x14ac:dyDescent="0.2">
      <c r="B325" s="132" t="s">
        <v>8</v>
      </c>
      <c r="C325" s="15">
        <v>4.8000000000000001E-2</v>
      </c>
      <c r="D325" s="16">
        <v>4.7E-2</v>
      </c>
      <c r="E325" s="16">
        <v>4.5999999999999999E-2</v>
      </c>
      <c r="F325" s="28">
        <v>0.05</v>
      </c>
      <c r="G325" s="33">
        <v>5.2999999999999999E-2</v>
      </c>
      <c r="H325" s="28">
        <v>0.05</v>
      </c>
      <c r="I325" s="17">
        <v>5.7000000000000002E-2</v>
      </c>
      <c r="J325" s="38">
        <v>6.2E-2</v>
      </c>
      <c r="K325" s="28">
        <v>0.05</v>
      </c>
      <c r="L325" s="34">
        <v>5.2999999999999999E-2</v>
      </c>
      <c r="M325" s="35">
        <v>5.8000000000000003E-2</v>
      </c>
      <c r="N325" s="14">
        <v>4.8000000000000001E-2</v>
      </c>
      <c r="O325" s="18" t="s">
        <v>38</v>
      </c>
    </row>
    <row r="326" spans="2:15" x14ac:dyDescent="0.2">
      <c r="B326" s="133"/>
      <c r="C326" s="20">
        <v>4.2999999999999997E-2</v>
      </c>
      <c r="D326" s="19">
        <v>4.1000000000000002E-2</v>
      </c>
      <c r="E326" s="19">
        <v>4.1000000000000002E-2</v>
      </c>
      <c r="F326" s="26">
        <v>4.3999999999999997E-2</v>
      </c>
      <c r="G326" s="26">
        <v>4.4999999999999998E-2</v>
      </c>
      <c r="H326" s="26">
        <v>4.3999999999999997E-2</v>
      </c>
      <c r="I326" s="36">
        <v>5.3999999999999999E-2</v>
      </c>
      <c r="J326" s="37">
        <v>5.8000000000000003E-2</v>
      </c>
      <c r="K326" s="25">
        <v>4.5999999999999999E-2</v>
      </c>
      <c r="L326" s="24">
        <v>4.9000000000000002E-2</v>
      </c>
      <c r="M326" s="39">
        <v>5.2999999999999999E-2</v>
      </c>
      <c r="N326" s="21">
        <v>4.2000000000000003E-2</v>
      </c>
      <c r="O326" s="18" t="s">
        <v>39</v>
      </c>
    </row>
    <row r="327" spans="2:15" x14ac:dyDescent="0.2">
      <c r="B327" s="133"/>
      <c r="C327" s="24">
        <v>2.9000000000000001E-2</v>
      </c>
      <c r="D327" s="24">
        <v>3.2000000000000001E-2</v>
      </c>
      <c r="E327" s="23">
        <v>2.7E-2</v>
      </c>
      <c r="F327" s="31">
        <v>3.3000000000000002E-2</v>
      </c>
      <c r="G327" s="39">
        <v>4.2000000000000003E-2</v>
      </c>
      <c r="H327" s="31">
        <v>3.5000000000000003E-2</v>
      </c>
      <c r="I327" s="20">
        <v>1.7999999999999999E-2</v>
      </c>
      <c r="J327" s="25">
        <v>2.3E-2</v>
      </c>
      <c r="K327" s="25">
        <v>2.5000000000000001E-2</v>
      </c>
      <c r="L327" s="23">
        <v>2.7E-2</v>
      </c>
      <c r="M327" s="24">
        <v>3.1E-2</v>
      </c>
      <c r="N327" s="23">
        <v>2.8000000000000001E-2</v>
      </c>
      <c r="O327" s="18" t="s">
        <v>40</v>
      </c>
    </row>
    <row r="328" spans="2:15" x14ac:dyDescent="0.2">
      <c r="B328" s="133"/>
      <c r="C328" s="19">
        <v>4.1000000000000002E-2</v>
      </c>
      <c r="D328" s="21">
        <v>0.184</v>
      </c>
      <c r="E328" s="19">
        <v>4.2999999999999997E-2</v>
      </c>
      <c r="F328" s="36">
        <v>0.93200000000000005</v>
      </c>
      <c r="G328" s="25">
        <v>0.374</v>
      </c>
      <c r="H328" s="21">
        <v>0.19400000000000001</v>
      </c>
      <c r="I328" s="30">
        <v>1.0209999999999999</v>
      </c>
      <c r="J328" s="24">
        <v>0.53900000000000003</v>
      </c>
      <c r="K328" s="22">
        <v>0.72299999999999998</v>
      </c>
      <c r="L328" s="20">
        <v>0.215</v>
      </c>
      <c r="M328" s="36">
        <v>0.92500000000000004</v>
      </c>
      <c r="N328" s="19">
        <v>4.1000000000000002E-2</v>
      </c>
      <c r="O328" s="18">
        <v>570</v>
      </c>
    </row>
    <row r="329" spans="2:15" x14ac:dyDescent="0.2">
      <c r="B329" s="134"/>
      <c r="C329" s="27">
        <v>1.4159999999999999</v>
      </c>
      <c r="D329" s="27">
        <v>5.7009999999999996</v>
      </c>
      <c r="E329" s="27">
        <v>1.583</v>
      </c>
      <c r="F329" s="27">
        <v>27.972000000000001</v>
      </c>
      <c r="G329" s="27">
        <v>8.9740000000000002</v>
      </c>
      <c r="H329" s="27">
        <v>5.5510000000000002</v>
      </c>
      <c r="I329" s="27">
        <v>57.442</v>
      </c>
      <c r="J329" s="27">
        <v>23.120999999999999</v>
      </c>
      <c r="K329" s="27">
        <v>28.916</v>
      </c>
      <c r="L329" s="27">
        <v>8.07</v>
      </c>
      <c r="M329" s="27">
        <v>30.26</v>
      </c>
      <c r="N329" s="27">
        <v>1.44</v>
      </c>
      <c r="O329" s="18" t="s">
        <v>41</v>
      </c>
    </row>
    <row r="330" spans="2:15" x14ac:dyDescent="0.2">
      <c r="B330" s="132" t="s">
        <v>9</v>
      </c>
      <c r="C330" s="16">
        <v>4.5999999999999999E-2</v>
      </c>
      <c r="D330" s="14">
        <v>4.8000000000000001E-2</v>
      </c>
      <c r="E330" s="16">
        <v>4.5999999999999999E-2</v>
      </c>
      <c r="F330" s="14">
        <v>4.7E-2</v>
      </c>
      <c r="G330" s="14">
        <v>4.8000000000000001E-2</v>
      </c>
      <c r="H330" s="15">
        <v>4.8000000000000001E-2</v>
      </c>
      <c r="I330" s="15">
        <v>4.9000000000000002E-2</v>
      </c>
      <c r="J330" s="14">
        <v>4.8000000000000001E-2</v>
      </c>
      <c r="K330" s="28">
        <v>4.9000000000000002E-2</v>
      </c>
      <c r="L330" s="14">
        <v>4.8000000000000001E-2</v>
      </c>
      <c r="M330" s="15">
        <v>4.9000000000000002E-2</v>
      </c>
      <c r="N330" s="28">
        <v>4.9000000000000002E-2</v>
      </c>
      <c r="O330" s="18" t="s">
        <v>38</v>
      </c>
    </row>
    <row r="331" spans="2:15" x14ac:dyDescent="0.2">
      <c r="B331" s="133"/>
      <c r="C331" s="19">
        <v>4.1000000000000002E-2</v>
      </c>
      <c r="D331" s="20">
        <v>4.2999999999999997E-2</v>
      </c>
      <c r="E331" s="19">
        <v>0.04</v>
      </c>
      <c r="F331" s="21">
        <v>4.2000000000000003E-2</v>
      </c>
      <c r="G331" s="21">
        <v>4.2000000000000003E-2</v>
      </c>
      <c r="H331" s="21">
        <v>4.2000000000000003E-2</v>
      </c>
      <c r="I331" s="20">
        <v>4.2999999999999997E-2</v>
      </c>
      <c r="J331" s="21">
        <v>4.2999999999999997E-2</v>
      </c>
      <c r="K331" s="20">
        <v>4.2999999999999997E-2</v>
      </c>
      <c r="L331" s="21">
        <v>4.2999999999999997E-2</v>
      </c>
      <c r="M331" s="20">
        <v>4.2999999999999997E-2</v>
      </c>
      <c r="N331" s="26">
        <v>4.3999999999999997E-2</v>
      </c>
      <c r="O331" s="18" t="s">
        <v>39</v>
      </c>
    </row>
    <row r="332" spans="2:15" x14ac:dyDescent="0.2">
      <c r="B332" s="133"/>
      <c r="C332" s="23">
        <v>2.8000000000000001E-2</v>
      </c>
      <c r="D332" s="23">
        <v>2.5999999999999999E-2</v>
      </c>
      <c r="E332" s="31">
        <v>3.5000000000000003E-2</v>
      </c>
      <c r="F332" s="24">
        <v>2.9000000000000001E-2</v>
      </c>
      <c r="G332" s="24">
        <v>3.2000000000000001E-2</v>
      </c>
      <c r="H332" s="24">
        <v>3.2000000000000001E-2</v>
      </c>
      <c r="I332" s="31">
        <v>3.4000000000000002E-2</v>
      </c>
      <c r="J332" s="24">
        <v>2.9000000000000001E-2</v>
      </c>
      <c r="K332" s="31">
        <v>3.4000000000000002E-2</v>
      </c>
      <c r="L332" s="24">
        <v>2.9000000000000001E-2</v>
      </c>
      <c r="M332" s="31">
        <v>3.3000000000000002E-2</v>
      </c>
      <c r="N332" s="24">
        <v>0.03</v>
      </c>
      <c r="O332" s="18" t="s">
        <v>40</v>
      </c>
    </row>
    <row r="333" spans="2:15" x14ac:dyDescent="0.2">
      <c r="B333" s="133"/>
      <c r="C333" s="19">
        <v>4.2000000000000003E-2</v>
      </c>
      <c r="D333" s="19">
        <v>4.1000000000000002E-2</v>
      </c>
      <c r="E333" s="19">
        <v>4.1000000000000002E-2</v>
      </c>
      <c r="F333" s="19">
        <v>4.1000000000000002E-2</v>
      </c>
      <c r="G333" s="19">
        <v>4.1000000000000002E-2</v>
      </c>
      <c r="H333" s="19">
        <v>4.1000000000000002E-2</v>
      </c>
      <c r="I333" s="19">
        <v>4.1000000000000002E-2</v>
      </c>
      <c r="J333" s="19">
        <v>0.04</v>
      </c>
      <c r="K333" s="19">
        <v>4.1000000000000002E-2</v>
      </c>
      <c r="L333" s="19">
        <v>4.1000000000000002E-2</v>
      </c>
      <c r="M333" s="19">
        <v>0.04</v>
      </c>
      <c r="N333" s="19">
        <v>4.1000000000000002E-2</v>
      </c>
      <c r="O333" s="18">
        <v>570</v>
      </c>
    </row>
    <row r="334" spans="2:15" x14ac:dyDescent="0.2">
      <c r="B334" s="134"/>
      <c r="C334" s="27">
        <v>1.5009999999999999</v>
      </c>
      <c r="D334" s="27">
        <v>1.593</v>
      </c>
      <c r="E334" s="27">
        <v>1.1599999999999999</v>
      </c>
      <c r="F334" s="27">
        <v>1.405</v>
      </c>
      <c r="G334" s="27">
        <v>1.2789999999999999</v>
      </c>
      <c r="H334" s="27">
        <v>1.276</v>
      </c>
      <c r="I334" s="27">
        <v>1.1759999999999999</v>
      </c>
      <c r="J334" s="27">
        <v>1.365</v>
      </c>
      <c r="K334" s="27">
        <v>1.1819999999999999</v>
      </c>
      <c r="L334" s="27">
        <v>1.4119999999999999</v>
      </c>
      <c r="M334" s="27">
        <v>1.212</v>
      </c>
      <c r="N334" s="27">
        <v>1.353</v>
      </c>
      <c r="O334" s="18" t="s">
        <v>41</v>
      </c>
    </row>
    <row r="337" spans="1:6" x14ac:dyDescent="0.2">
      <c r="A337" t="s">
        <v>10</v>
      </c>
      <c r="B337" t="s">
        <v>11</v>
      </c>
      <c r="D337" s="7" t="s">
        <v>86</v>
      </c>
      <c r="E337" s="40">
        <v>45380</v>
      </c>
      <c r="F337" s="7" t="s">
        <v>16</v>
      </c>
    </row>
    <row r="339" spans="1:6" x14ac:dyDescent="0.2">
      <c r="A339" t="s">
        <v>12</v>
      </c>
    </row>
    <row r="340" spans="1:6" x14ac:dyDescent="0.2">
      <c r="A340" t="s">
        <v>13</v>
      </c>
      <c r="B340" t="s">
        <v>14</v>
      </c>
    </row>
    <row r="341" spans="1:6" x14ac:dyDescent="0.2">
      <c r="A341" t="s">
        <v>15</v>
      </c>
      <c r="B341" t="s">
        <v>16</v>
      </c>
    </row>
    <row r="342" spans="1:6" x14ac:dyDescent="0.2">
      <c r="A342" t="s">
        <v>17</v>
      </c>
      <c r="B342" s="8">
        <v>45380</v>
      </c>
    </row>
    <row r="343" spans="1:6" x14ac:dyDescent="0.2">
      <c r="A343" t="s">
        <v>18</v>
      </c>
      <c r="B343" s="9">
        <v>0.60943287037037031</v>
      </c>
    </row>
    <row r="344" spans="1:6" x14ac:dyDescent="0.2">
      <c r="A344" t="s">
        <v>19</v>
      </c>
      <c r="B344" t="s">
        <v>20</v>
      </c>
    </row>
    <row r="345" spans="1:6" x14ac:dyDescent="0.2">
      <c r="A345" t="s">
        <v>21</v>
      </c>
      <c r="B345" t="s">
        <v>22</v>
      </c>
    </row>
    <row r="346" spans="1:6" x14ac:dyDescent="0.2">
      <c r="A346" t="s">
        <v>23</v>
      </c>
      <c r="B346" t="s">
        <v>24</v>
      </c>
    </row>
    <row r="348" spans="1:6" x14ac:dyDescent="0.2">
      <c r="A348" s="10" t="s">
        <v>25</v>
      </c>
      <c r="B348" s="11"/>
    </row>
    <row r="349" spans="1:6" x14ac:dyDescent="0.2">
      <c r="A349" t="s">
        <v>26</v>
      </c>
      <c r="B349" t="s">
        <v>27</v>
      </c>
    </row>
    <row r="350" spans="1:6" x14ac:dyDescent="0.2">
      <c r="A350" t="s">
        <v>28</v>
      </c>
    </row>
    <row r="351" spans="1:6" x14ac:dyDescent="0.2">
      <c r="A351" t="s">
        <v>29</v>
      </c>
      <c r="B351" t="s">
        <v>30</v>
      </c>
    </row>
    <row r="352" spans="1:6" x14ac:dyDescent="0.2">
      <c r="B352" t="s">
        <v>31</v>
      </c>
    </row>
    <row r="353" spans="1:15" x14ac:dyDescent="0.2">
      <c r="B353" t="s">
        <v>32</v>
      </c>
    </row>
    <row r="354" spans="1:15" x14ac:dyDescent="0.2">
      <c r="B354" t="s">
        <v>33</v>
      </c>
    </row>
    <row r="355" spans="1:15" x14ac:dyDescent="0.2">
      <c r="B355" t="s">
        <v>34</v>
      </c>
    </row>
    <row r="356" spans="1:15" x14ac:dyDescent="0.2">
      <c r="B356" t="s">
        <v>35</v>
      </c>
    </row>
    <row r="358" spans="1:15" x14ac:dyDescent="0.2">
      <c r="A358" s="10" t="s">
        <v>36</v>
      </c>
      <c r="B358" s="11"/>
    </row>
    <row r="359" spans="1:15" x14ac:dyDescent="0.2">
      <c r="A359" t="s">
        <v>37</v>
      </c>
      <c r="B359">
        <v>19.899999999999999</v>
      </c>
    </row>
    <row r="361" spans="1:15" x14ac:dyDescent="0.2">
      <c r="B361" s="12"/>
      <c r="C361" s="13">
        <v>1</v>
      </c>
      <c r="D361" s="13">
        <v>2</v>
      </c>
      <c r="E361" s="13">
        <v>3</v>
      </c>
      <c r="F361" s="13">
        <v>4</v>
      </c>
      <c r="G361" s="13">
        <v>5</v>
      </c>
      <c r="H361" s="13">
        <v>6</v>
      </c>
      <c r="I361" s="13">
        <v>7</v>
      </c>
      <c r="J361" s="13">
        <v>8</v>
      </c>
      <c r="K361" s="13">
        <v>9</v>
      </c>
      <c r="L361" s="13">
        <v>10</v>
      </c>
      <c r="M361" s="13">
        <v>11</v>
      </c>
      <c r="N361" s="13">
        <v>12</v>
      </c>
    </row>
    <row r="362" spans="1:15" x14ac:dyDescent="0.2">
      <c r="B362" s="132" t="s">
        <v>0</v>
      </c>
      <c r="C362" s="28">
        <v>4.8000000000000001E-2</v>
      </c>
      <c r="D362" s="15">
        <v>4.7E-2</v>
      </c>
      <c r="E362" s="14">
        <v>4.7E-2</v>
      </c>
      <c r="F362" s="15">
        <v>4.7E-2</v>
      </c>
      <c r="G362" s="14">
        <v>4.5999999999999999E-2</v>
      </c>
      <c r="H362" s="14">
        <v>4.7E-2</v>
      </c>
      <c r="I362" s="14">
        <v>4.7E-2</v>
      </c>
      <c r="J362" s="28">
        <v>4.8000000000000001E-2</v>
      </c>
      <c r="K362" s="14">
        <v>4.5999999999999999E-2</v>
      </c>
      <c r="L362" s="16">
        <v>4.5999999999999999E-2</v>
      </c>
      <c r="M362" s="14">
        <v>4.5999999999999999E-2</v>
      </c>
      <c r="N362" s="16">
        <v>4.4999999999999998E-2</v>
      </c>
      <c r="O362" s="18" t="s">
        <v>38</v>
      </c>
    </row>
    <row r="363" spans="1:15" x14ac:dyDescent="0.2">
      <c r="B363" s="133"/>
      <c r="C363" s="20">
        <v>4.2999999999999997E-2</v>
      </c>
      <c r="D363" s="19">
        <v>4.1000000000000002E-2</v>
      </c>
      <c r="E363" s="21">
        <v>4.2000000000000003E-2</v>
      </c>
      <c r="F363" s="21">
        <v>4.2000000000000003E-2</v>
      </c>
      <c r="G363" s="21">
        <v>4.2000000000000003E-2</v>
      </c>
      <c r="H363" s="21">
        <v>4.2000000000000003E-2</v>
      </c>
      <c r="I363" s="21">
        <v>4.2000000000000003E-2</v>
      </c>
      <c r="J363" s="20">
        <v>4.2999999999999997E-2</v>
      </c>
      <c r="K363" s="21">
        <v>4.2000000000000003E-2</v>
      </c>
      <c r="L363" s="19">
        <v>4.1000000000000002E-2</v>
      </c>
      <c r="M363" s="21">
        <v>4.2000000000000003E-2</v>
      </c>
      <c r="N363" s="19">
        <v>0.04</v>
      </c>
      <c r="O363" s="18" t="s">
        <v>39</v>
      </c>
    </row>
    <row r="364" spans="1:15" x14ac:dyDescent="0.2">
      <c r="B364" s="133"/>
      <c r="C364" s="36">
        <v>2.8000000000000001E-2</v>
      </c>
      <c r="D364" s="37">
        <v>3.3000000000000002E-2</v>
      </c>
      <c r="E364" s="22">
        <v>2.4E-2</v>
      </c>
      <c r="F364" s="30">
        <v>3.1E-2</v>
      </c>
      <c r="G364" s="39">
        <v>2.5999999999999999E-2</v>
      </c>
      <c r="H364" s="36">
        <v>2.8000000000000001E-2</v>
      </c>
      <c r="I364" s="36">
        <v>2.8000000000000001E-2</v>
      </c>
      <c r="J364" s="36">
        <v>2.8000000000000001E-2</v>
      </c>
      <c r="K364" s="22">
        <v>2.5000000000000001E-2</v>
      </c>
      <c r="L364" s="36">
        <v>2.8000000000000001E-2</v>
      </c>
      <c r="M364" s="39">
        <v>2.5999999999999999E-2</v>
      </c>
      <c r="N364" s="39">
        <v>2.5999999999999999E-2</v>
      </c>
      <c r="O364" s="18" t="s">
        <v>40</v>
      </c>
    </row>
    <row r="365" spans="1:15" x14ac:dyDescent="0.2">
      <c r="B365" s="133"/>
      <c r="C365" s="19">
        <v>4.2000000000000003E-2</v>
      </c>
      <c r="D365" s="19">
        <v>4.1000000000000002E-2</v>
      </c>
      <c r="E365" s="19">
        <v>4.1000000000000002E-2</v>
      </c>
      <c r="F365" s="19">
        <v>4.2000000000000003E-2</v>
      </c>
      <c r="G365" s="19">
        <v>4.1000000000000002E-2</v>
      </c>
      <c r="H365" s="19">
        <v>4.1000000000000002E-2</v>
      </c>
      <c r="I365" s="19">
        <v>4.2000000000000003E-2</v>
      </c>
      <c r="J365" s="19">
        <v>4.3999999999999997E-2</v>
      </c>
      <c r="K365" s="19">
        <v>4.1000000000000002E-2</v>
      </c>
      <c r="L365" s="19">
        <v>4.2000000000000003E-2</v>
      </c>
      <c r="M365" s="19">
        <v>0.04</v>
      </c>
      <c r="N365" s="19">
        <v>4.1000000000000002E-2</v>
      </c>
      <c r="O365" s="18">
        <v>570</v>
      </c>
    </row>
    <row r="366" spans="1:15" x14ac:dyDescent="0.2">
      <c r="B366" s="134"/>
      <c r="C366" s="27">
        <v>1.4650000000000001</v>
      </c>
      <c r="D366" s="27">
        <v>1.2390000000000001</v>
      </c>
      <c r="E366" s="27">
        <v>1.661</v>
      </c>
      <c r="F366" s="27">
        <v>1.347</v>
      </c>
      <c r="G366" s="27">
        <v>1.6160000000000001</v>
      </c>
      <c r="H366" s="27">
        <v>1.476</v>
      </c>
      <c r="I366" s="27">
        <v>1.5009999999999999</v>
      </c>
      <c r="J366" s="27">
        <v>1.5389999999999999</v>
      </c>
      <c r="K366" s="27">
        <v>1.6279999999999999</v>
      </c>
      <c r="L366" s="27">
        <v>1.5049999999999999</v>
      </c>
      <c r="M366" s="27">
        <v>1.577</v>
      </c>
      <c r="N366" s="27">
        <v>1.585</v>
      </c>
      <c r="O366" s="18" t="s">
        <v>41</v>
      </c>
    </row>
    <row r="367" spans="1:15" x14ac:dyDescent="0.2">
      <c r="B367" s="132" t="s">
        <v>1</v>
      </c>
      <c r="C367" s="14">
        <v>4.5999999999999999E-2</v>
      </c>
      <c r="D367" s="34">
        <v>5.1999999999999998E-2</v>
      </c>
      <c r="E367" s="28">
        <v>4.9000000000000002E-2</v>
      </c>
      <c r="F367" s="15">
        <v>4.8000000000000001E-2</v>
      </c>
      <c r="G367" s="14">
        <v>4.5999999999999999E-2</v>
      </c>
      <c r="H367" s="29">
        <v>0.05</v>
      </c>
      <c r="I367" s="28">
        <v>4.9000000000000002E-2</v>
      </c>
      <c r="J367" s="28">
        <v>4.8000000000000001E-2</v>
      </c>
      <c r="K367" s="34">
        <v>5.1999999999999998E-2</v>
      </c>
      <c r="L367" s="15">
        <v>4.8000000000000001E-2</v>
      </c>
      <c r="M367" s="14">
        <v>4.5999999999999999E-2</v>
      </c>
      <c r="N367" s="14">
        <v>4.5999999999999999E-2</v>
      </c>
      <c r="O367" s="18" t="s">
        <v>38</v>
      </c>
    </row>
    <row r="368" spans="1:15" x14ac:dyDescent="0.2">
      <c r="B368" s="133"/>
      <c r="C368" s="21">
        <v>4.2000000000000003E-2</v>
      </c>
      <c r="D368" s="24">
        <v>4.7E-2</v>
      </c>
      <c r="E368" s="26">
        <v>4.3999999999999997E-2</v>
      </c>
      <c r="F368" s="20">
        <v>4.2999999999999997E-2</v>
      </c>
      <c r="G368" s="19">
        <v>4.1000000000000002E-2</v>
      </c>
      <c r="H368" s="25">
        <v>4.4999999999999998E-2</v>
      </c>
      <c r="I368" s="20">
        <v>4.2999999999999997E-2</v>
      </c>
      <c r="J368" s="21">
        <v>4.2000000000000003E-2</v>
      </c>
      <c r="K368" s="23">
        <v>4.5999999999999999E-2</v>
      </c>
      <c r="L368" s="20">
        <v>4.2999999999999997E-2</v>
      </c>
      <c r="M368" s="19">
        <v>4.1000000000000002E-2</v>
      </c>
      <c r="N368" s="21">
        <v>4.2000000000000003E-2</v>
      </c>
      <c r="O368" s="18" t="s">
        <v>39</v>
      </c>
    </row>
    <row r="369" spans="2:15" x14ac:dyDescent="0.2">
      <c r="B369" s="133"/>
      <c r="C369" s="39">
        <v>2.5999999999999999E-2</v>
      </c>
      <c r="D369" s="39">
        <v>2.5999999999999999E-2</v>
      </c>
      <c r="E369" s="36">
        <v>2.7E-2</v>
      </c>
      <c r="F369" s="22">
        <v>2.4E-2</v>
      </c>
      <c r="G369" s="36">
        <v>2.8000000000000001E-2</v>
      </c>
      <c r="H369" s="36">
        <v>2.7E-2</v>
      </c>
      <c r="I369" s="37">
        <v>3.3000000000000002E-2</v>
      </c>
      <c r="J369" s="37">
        <v>3.4000000000000002E-2</v>
      </c>
      <c r="K369" s="30">
        <v>3.2000000000000001E-2</v>
      </c>
      <c r="L369" s="36">
        <v>2.9000000000000001E-2</v>
      </c>
      <c r="M369" s="30">
        <v>3.2000000000000001E-2</v>
      </c>
      <c r="N369" s="39">
        <v>2.7E-2</v>
      </c>
      <c r="O369" s="18" t="s">
        <v>40</v>
      </c>
    </row>
    <row r="370" spans="2:15" x14ac:dyDescent="0.2">
      <c r="B370" s="133"/>
      <c r="C370" s="19">
        <v>4.2000000000000003E-2</v>
      </c>
      <c r="D370" s="32">
        <v>0.95</v>
      </c>
      <c r="E370" s="21">
        <v>0.129</v>
      </c>
      <c r="F370" s="19">
        <v>6.5000000000000002E-2</v>
      </c>
      <c r="G370" s="25">
        <v>0.378</v>
      </c>
      <c r="H370" s="36">
        <v>0.85199999999999998</v>
      </c>
      <c r="I370" s="20">
        <v>0.26900000000000002</v>
      </c>
      <c r="J370" s="19">
        <v>4.2999999999999997E-2</v>
      </c>
      <c r="K370" s="20">
        <v>0.22500000000000001</v>
      </c>
      <c r="L370" s="39">
        <v>0.8</v>
      </c>
      <c r="M370" s="19">
        <v>5.0999999999999997E-2</v>
      </c>
      <c r="N370" s="19">
        <v>0.04</v>
      </c>
      <c r="O370" s="18">
        <v>570</v>
      </c>
    </row>
    <row r="371" spans="2:15" x14ac:dyDescent="0.2">
      <c r="B371" s="134"/>
      <c r="C371" s="27">
        <v>1.6359999999999999</v>
      </c>
      <c r="D371" s="27">
        <v>36.398000000000003</v>
      </c>
      <c r="E371" s="27">
        <v>4.7240000000000002</v>
      </c>
      <c r="F371" s="27">
        <v>2.6469999999999998</v>
      </c>
      <c r="G371" s="27">
        <v>13.612</v>
      </c>
      <c r="H371" s="27">
        <v>31.312999999999999</v>
      </c>
      <c r="I371" s="27">
        <v>8.1980000000000004</v>
      </c>
      <c r="J371" s="27">
        <v>1.2370000000000001</v>
      </c>
      <c r="K371" s="27">
        <v>7.1050000000000004</v>
      </c>
      <c r="L371" s="27">
        <v>27.681999999999999</v>
      </c>
      <c r="M371" s="27">
        <v>1.595</v>
      </c>
      <c r="N371" s="27">
        <v>1.5109999999999999</v>
      </c>
      <c r="O371" s="18" t="s">
        <v>41</v>
      </c>
    </row>
    <row r="372" spans="2:15" x14ac:dyDescent="0.2">
      <c r="B372" s="132" t="s">
        <v>3</v>
      </c>
      <c r="C372" s="28">
        <v>4.8000000000000001E-2</v>
      </c>
      <c r="D372" s="29">
        <v>0.05</v>
      </c>
      <c r="E372" s="65">
        <v>5.3999999999999999E-2</v>
      </c>
      <c r="F372" s="29">
        <v>4.9000000000000002E-2</v>
      </c>
      <c r="G372" s="29">
        <v>4.9000000000000002E-2</v>
      </c>
      <c r="H372" s="15">
        <v>4.8000000000000001E-2</v>
      </c>
      <c r="I372" s="33">
        <v>0.05</v>
      </c>
      <c r="J372" s="15">
        <v>4.7E-2</v>
      </c>
      <c r="K372" s="28">
        <v>4.8000000000000001E-2</v>
      </c>
      <c r="L372" s="14">
        <v>4.5999999999999999E-2</v>
      </c>
      <c r="M372" s="15">
        <v>4.8000000000000001E-2</v>
      </c>
      <c r="N372" s="14">
        <v>4.5999999999999999E-2</v>
      </c>
      <c r="O372" s="18" t="s">
        <v>38</v>
      </c>
    </row>
    <row r="373" spans="2:15" x14ac:dyDescent="0.2">
      <c r="B373" s="133"/>
      <c r="C373" s="20">
        <v>4.2999999999999997E-2</v>
      </c>
      <c r="D373" s="26">
        <v>4.4999999999999998E-2</v>
      </c>
      <c r="E373" s="31">
        <v>4.8000000000000001E-2</v>
      </c>
      <c r="F373" s="26">
        <v>4.3999999999999997E-2</v>
      </c>
      <c r="G373" s="26">
        <v>4.3999999999999997E-2</v>
      </c>
      <c r="H373" s="20">
        <v>4.2999999999999997E-2</v>
      </c>
      <c r="I373" s="26">
        <v>4.3999999999999997E-2</v>
      </c>
      <c r="J373" s="19">
        <v>4.1000000000000002E-2</v>
      </c>
      <c r="K373" s="26">
        <v>4.3999999999999997E-2</v>
      </c>
      <c r="L373" s="21">
        <v>4.2000000000000003E-2</v>
      </c>
      <c r="M373" s="20">
        <v>4.2999999999999997E-2</v>
      </c>
      <c r="N373" s="21">
        <v>4.2000000000000003E-2</v>
      </c>
      <c r="O373" s="18" t="s">
        <v>39</v>
      </c>
    </row>
    <row r="374" spans="2:15" x14ac:dyDescent="0.2">
      <c r="B374" s="133"/>
      <c r="C374" s="36">
        <v>2.8000000000000001E-2</v>
      </c>
      <c r="D374" s="36">
        <v>2.8000000000000001E-2</v>
      </c>
      <c r="E374" s="32">
        <v>3.1E-2</v>
      </c>
      <c r="F374" s="32">
        <v>2.9000000000000001E-2</v>
      </c>
      <c r="G374" s="39">
        <v>2.5999999999999999E-2</v>
      </c>
      <c r="H374" s="39">
        <v>2.5999999999999999E-2</v>
      </c>
      <c r="I374" s="37">
        <v>3.3000000000000002E-2</v>
      </c>
      <c r="J374" s="30">
        <v>3.2000000000000001E-2</v>
      </c>
      <c r="K374" s="22">
        <v>2.4E-2</v>
      </c>
      <c r="L374" s="36">
        <v>2.7E-2</v>
      </c>
      <c r="M374" s="36">
        <v>2.8000000000000001E-2</v>
      </c>
      <c r="N374" s="39">
        <v>2.5999999999999999E-2</v>
      </c>
      <c r="O374" s="18" t="s">
        <v>40</v>
      </c>
    </row>
    <row r="375" spans="2:15" x14ac:dyDescent="0.2">
      <c r="B375" s="133"/>
      <c r="C375" s="19">
        <v>4.2000000000000003E-2</v>
      </c>
      <c r="D375" s="21">
        <v>0.155</v>
      </c>
      <c r="E375" s="26">
        <v>0.29299999999999998</v>
      </c>
      <c r="F375" s="19">
        <v>0.10100000000000001</v>
      </c>
      <c r="G375" s="20">
        <v>0.27300000000000002</v>
      </c>
      <c r="H375" s="19">
        <v>0.108</v>
      </c>
      <c r="I375" s="20">
        <v>0.251</v>
      </c>
      <c r="J375" s="19">
        <v>4.5999999999999999E-2</v>
      </c>
      <c r="K375" s="20">
        <v>0.23200000000000001</v>
      </c>
      <c r="L375" s="21">
        <v>0.124</v>
      </c>
      <c r="M375" s="20">
        <v>0.246</v>
      </c>
      <c r="N375" s="19">
        <v>4.1000000000000002E-2</v>
      </c>
      <c r="O375" s="18">
        <v>570</v>
      </c>
    </row>
    <row r="376" spans="2:15" x14ac:dyDescent="0.2">
      <c r="B376" s="134"/>
      <c r="C376" s="27">
        <v>1.498</v>
      </c>
      <c r="D376" s="27">
        <v>5.4669999999999996</v>
      </c>
      <c r="E376" s="27">
        <v>9.6020000000000003</v>
      </c>
      <c r="F376" s="27">
        <v>3.42</v>
      </c>
      <c r="G376" s="27">
        <v>10.694000000000001</v>
      </c>
      <c r="H376" s="27">
        <v>4.2300000000000004</v>
      </c>
      <c r="I376" s="27">
        <v>7.5419999999999998</v>
      </c>
      <c r="J376" s="27">
        <v>1.4370000000000001</v>
      </c>
      <c r="K376" s="27">
        <v>9.7119999999999997</v>
      </c>
      <c r="L376" s="27">
        <v>4.5510000000000002</v>
      </c>
      <c r="M376" s="27">
        <v>8.6750000000000007</v>
      </c>
      <c r="N376" s="27">
        <v>1.585</v>
      </c>
      <c r="O376" s="18" t="s">
        <v>41</v>
      </c>
    </row>
    <row r="377" spans="2:15" x14ac:dyDescent="0.2">
      <c r="B377" s="132" t="s">
        <v>5</v>
      </c>
      <c r="C377" s="28">
        <v>4.8000000000000001E-2</v>
      </c>
      <c r="D377" s="34">
        <v>5.1999999999999998E-2</v>
      </c>
      <c r="E377" s="65">
        <v>5.3999999999999999E-2</v>
      </c>
      <c r="F377" s="38">
        <v>0.06</v>
      </c>
      <c r="G377" s="28">
        <v>4.9000000000000002E-2</v>
      </c>
      <c r="H377" s="35">
        <v>5.6000000000000001E-2</v>
      </c>
      <c r="I377" s="29">
        <v>0.05</v>
      </c>
      <c r="J377" s="28">
        <v>4.9000000000000002E-2</v>
      </c>
      <c r="K377" s="29">
        <v>0.05</v>
      </c>
      <c r="L377" s="29">
        <v>0.05</v>
      </c>
      <c r="M377" s="28">
        <v>4.9000000000000002E-2</v>
      </c>
      <c r="N377" s="15">
        <v>4.7E-2</v>
      </c>
      <c r="O377" s="18" t="s">
        <v>38</v>
      </c>
    </row>
    <row r="378" spans="2:15" x14ac:dyDescent="0.2">
      <c r="B378" s="133"/>
      <c r="C378" s="20">
        <v>4.2999999999999997E-2</v>
      </c>
      <c r="D378" s="23">
        <v>4.7E-2</v>
      </c>
      <c r="E378" s="31">
        <v>4.9000000000000002E-2</v>
      </c>
      <c r="F378" s="37">
        <v>5.5E-2</v>
      </c>
      <c r="G378" s="20">
        <v>4.2999999999999997E-2</v>
      </c>
      <c r="H378" s="32">
        <v>5.1999999999999998E-2</v>
      </c>
      <c r="I378" s="26">
        <v>4.3999999999999997E-2</v>
      </c>
      <c r="J378" s="26">
        <v>4.3999999999999997E-2</v>
      </c>
      <c r="K378" s="26">
        <v>4.3999999999999997E-2</v>
      </c>
      <c r="L378" s="26">
        <v>4.3999999999999997E-2</v>
      </c>
      <c r="M378" s="20">
        <v>4.2999999999999997E-2</v>
      </c>
      <c r="N378" s="21">
        <v>4.2000000000000003E-2</v>
      </c>
      <c r="O378" s="18" t="s">
        <v>39</v>
      </c>
    </row>
    <row r="379" spans="2:15" x14ac:dyDescent="0.2">
      <c r="B379" s="133"/>
      <c r="C379" s="32">
        <v>0.03</v>
      </c>
      <c r="D379" s="32">
        <v>0.03</v>
      </c>
      <c r="E379" s="39">
        <v>2.7E-2</v>
      </c>
      <c r="F379" s="22">
        <v>2.4E-2</v>
      </c>
      <c r="G379" s="30">
        <v>3.2000000000000001E-2</v>
      </c>
      <c r="H379" s="31">
        <v>2.3E-2</v>
      </c>
      <c r="I379" s="37">
        <v>3.3000000000000002E-2</v>
      </c>
      <c r="J379" s="36">
        <v>2.8000000000000001E-2</v>
      </c>
      <c r="K379" s="32">
        <v>0.03</v>
      </c>
      <c r="L379" s="36">
        <v>2.8000000000000001E-2</v>
      </c>
      <c r="M379" s="30">
        <v>3.1E-2</v>
      </c>
      <c r="N379" s="36">
        <v>2.8000000000000001E-2</v>
      </c>
      <c r="O379" s="18" t="s">
        <v>40</v>
      </c>
    </row>
    <row r="380" spans="2:15" x14ac:dyDescent="0.2">
      <c r="B380" s="133"/>
      <c r="C380" s="19">
        <v>4.1000000000000002E-2</v>
      </c>
      <c r="D380" s="30">
        <v>0.97799999999999998</v>
      </c>
      <c r="E380" s="23">
        <v>0.43</v>
      </c>
      <c r="F380" s="22">
        <v>0.69299999999999995</v>
      </c>
      <c r="G380" s="19">
        <v>6.9000000000000006E-2</v>
      </c>
      <c r="H380" s="37">
        <v>1.0940000000000001</v>
      </c>
      <c r="I380" s="22">
        <v>0.72</v>
      </c>
      <c r="J380" s="19">
        <v>0.09</v>
      </c>
      <c r="K380" s="24">
        <v>0.53600000000000003</v>
      </c>
      <c r="L380" s="36">
        <v>0.85099999999999998</v>
      </c>
      <c r="M380" s="20">
        <v>0.24399999999999999</v>
      </c>
      <c r="N380" s="19">
        <v>4.1000000000000002E-2</v>
      </c>
      <c r="O380" s="18">
        <v>570</v>
      </c>
    </row>
    <row r="381" spans="2:15" x14ac:dyDescent="0.2">
      <c r="B381" s="134"/>
      <c r="C381" s="27">
        <v>1.367</v>
      </c>
      <c r="D381" s="27">
        <v>32.587000000000003</v>
      </c>
      <c r="E381" s="27">
        <v>16.117999999999999</v>
      </c>
      <c r="F381" s="27">
        <v>29.018000000000001</v>
      </c>
      <c r="G381" s="27">
        <v>2.1880000000000002</v>
      </c>
      <c r="H381" s="27">
        <v>48.012</v>
      </c>
      <c r="I381" s="27">
        <v>21.96</v>
      </c>
      <c r="J381" s="27">
        <v>3.1840000000000002</v>
      </c>
      <c r="K381" s="27">
        <v>17.882999999999999</v>
      </c>
      <c r="L381" s="27">
        <v>30.035</v>
      </c>
      <c r="M381" s="27">
        <v>7.8559999999999999</v>
      </c>
      <c r="N381" s="27">
        <v>1.4650000000000001</v>
      </c>
      <c r="O381" s="18" t="s">
        <v>41</v>
      </c>
    </row>
    <row r="382" spans="2:15" x14ac:dyDescent="0.2">
      <c r="B382" s="132" t="s">
        <v>6</v>
      </c>
      <c r="C382" s="14">
        <v>4.7E-2</v>
      </c>
      <c r="D382" s="15">
        <v>4.8000000000000001E-2</v>
      </c>
      <c r="E382" s="33">
        <v>0.05</v>
      </c>
      <c r="F382" s="65">
        <v>5.3999999999999999E-2</v>
      </c>
      <c r="G382" s="68">
        <v>5.7000000000000002E-2</v>
      </c>
      <c r="H382" s="15">
        <v>4.7E-2</v>
      </c>
      <c r="I382" s="64">
        <v>5.1999999999999998E-2</v>
      </c>
      <c r="J382" s="33">
        <v>0.05</v>
      </c>
      <c r="K382" s="17">
        <v>5.5E-2</v>
      </c>
      <c r="L382" s="29">
        <v>4.9000000000000002E-2</v>
      </c>
      <c r="M382" s="17">
        <v>5.3999999999999999E-2</v>
      </c>
      <c r="N382" s="28">
        <v>4.9000000000000002E-2</v>
      </c>
      <c r="O382" s="18" t="s">
        <v>38</v>
      </c>
    </row>
    <row r="383" spans="2:15" x14ac:dyDescent="0.2">
      <c r="B383" s="133"/>
      <c r="C383" s="21">
        <v>4.2000000000000003E-2</v>
      </c>
      <c r="D383" s="20">
        <v>4.2999999999999997E-2</v>
      </c>
      <c r="E383" s="25">
        <v>4.4999999999999998E-2</v>
      </c>
      <c r="F383" s="22">
        <v>0.05</v>
      </c>
      <c r="G383" s="32">
        <v>5.1999999999999998E-2</v>
      </c>
      <c r="H383" s="20">
        <v>4.2999999999999997E-2</v>
      </c>
      <c r="I383" s="24">
        <v>4.7E-2</v>
      </c>
      <c r="J383" s="26">
        <v>4.3999999999999997E-2</v>
      </c>
      <c r="K383" s="22">
        <v>0.05</v>
      </c>
      <c r="L383" s="26">
        <v>4.3999999999999997E-2</v>
      </c>
      <c r="M383" s="22">
        <v>4.9000000000000002E-2</v>
      </c>
      <c r="N383" s="20">
        <v>4.2999999999999997E-2</v>
      </c>
      <c r="O383" s="18" t="s">
        <v>39</v>
      </c>
    </row>
    <row r="384" spans="2:15" x14ac:dyDescent="0.2">
      <c r="B384" s="133"/>
      <c r="C384" s="22">
        <v>2.5000000000000001E-2</v>
      </c>
      <c r="D384" s="39">
        <v>2.5999999999999999E-2</v>
      </c>
      <c r="E384" s="32">
        <v>3.1E-2</v>
      </c>
      <c r="F384" s="24">
        <v>2.1000000000000001E-2</v>
      </c>
      <c r="G384" s="39">
        <v>2.7E-2</v>
      </c>
      <c r="H384" s="22">
        <v>2.4E-2</v>
      </c>
      <c r="I384" s="32">
        <v>2.9000000000000001E-2</v>
      </c>
      <c r="J384" s="37">
        <v>3.4000000000000002E-2</v>
      </c>
      <c r="K384" s="36">
        <v>2.9000000000000001E-2</v>
      </c>
      <c r="L384" s="32">
        <v>0.03</v>
      </c>
      <c r="M384" s="36">
        <v>2.8000000000000001E-2</v>
      </c>
      <c r="N384" s="36">
        <v>2.9000000000000001E-2</v>
      </c>
      <c r="O384" s="18" t="s">
        <v>40</v>
      </c>
    </row>
    <row r="385" spans="2:15" x14ac:dyDescent="0.2">
      <c r="B385" s="133"/>
      <c r="C385" s="19">
        <v>4.2000000000000003E-2</v>
      </c>
      <c r="D385" s="19">
        <v>0.11</v>
      </c>
      <c r="E385" s="26">
        <v>0.34799999999999998</v>
      </c>
      <c r="F385" s="22">
        <v>0.70799999999999996</v>
      </c>
      <c r="G385" s="24">
        <v>0.52600000000000002</v>
      </c>
      <c r="H385" s="21">
        <v>0.155</v>
      </c>
      <c r="I385" s="36">
        <v>0.86499999999999999</v>
      </c>
      <c r="J385" s="19">
        <v>0.113</v>
      </c>
      <c r="K385" s="24">
        <v>0.57199999999999995</v>
      </c>
      <c r="L385" s="21">
        <v>0.13700000000000001</v>
      </c>
      <c r="M385" s="19">
        <v>5.2999999999999999E-2</v>
      </c>
      <c r="N385" s="19">
        <v>4.1000000000000002E-2</v>
      </c>
      <c r="O385" s="18">
        <v>570</v>
      </c>
    </row>
    <row r="386" spans="2:15" x14ac:dyDescent="0.2">
      <c r="B386" s="134"/>
      <c r="C386" s="27">
        <v>1.6639999999999999</v>
      </c>
      <c r="D386" s="27">
        <v>4.3159999999999998</v>
      </c>
      <c r="E386" s="27">
        <v>11.382999999999999</v>
      </c>
      <c r="F386" s="27">
        <v>33.555999999999997</v>
      </c>
      <c r="G386" s="27">
        <v>19.721</v>
      </c>
      <c r="H386" s="27">
        <v>6.3410000000000002</v>
      </c>
      <c r="I386" s="27">
        <v>29.373999999999999</v>
      </c>
      <c r="J386" s="27">
        <v>3.2919999999999998</v>
      </c>
      <c r="K386" s="27">
        <v>19.803000000000001</v>
      </c>
      <c r="L386" s="27">
        <v>4.58</v>
      </c>
      <c r="M386" s="27">
        <v>1.871</v>
      </c>
      <c r="N386" s="27">
        <v>1.4159999999999999</v>
      </c>
      <c r="O386" s="18" t="s">
        <v>41</v>
      </c>
    </row>
    <row r="387" spans="2:15" x14ac:dyDescent="0.2">
      <c r="B387" s="132" t="s">
        <v>7</v>
      </c>
      <c r="C387" s="14">
        <v>4.5999999999999999E-2</v>
      </c>
      <c r="D387" s="33">
        <v>5.0999999999999997E-2</v>
      </c>
      <c r="E387" s="65">
        <v>5.3999999999999999E-2</v>
      </c>
      <c r="F387" s="35">
        <v>5.6000000000000001E-2</v>
      </c>
      <c r="G387" s="35">
        <v>5.6000000000000001E-2</v>
      </c>
      <c r="H387" s="17">
        <v>5.5E-2</v>
      </c>
      <c r="I387" s="65">
        <v>5.3999999999999999E-2</v>
      </c>
      <c r="J387" s="15">
        <v>4.8000000000000001E-2</v>
      </c>
      <c r="K387" s="17">
        <v>5.5E-2</v>
      </c>
      <c r="L387" s="34">
        <v>5.1999999999999998E-2</v>
      </c>
      <c r="M387" s="64">
        <v>5.1999999999999998E-2</v>
      </c>
      <c r="N387" s="28">
        <v>4.8000000000000001E-2</v>
      </c>
      <c r="O387" s="18" t="s">
        <v>38</v>
      </c>
    </row>
    <row r="388" spans="2:15" x14ac:dyDescent="0.2">
      <c r="B388" s="133"/>
      <c r="C388" s="19">
        <v>4.1000000000000002E-2</v>
      </c>
      <c r="D388" s="23">
        <v>4.5999999999999999E-2</v>
      </c>
      <c r="E388" s="31">
        <v>4.9000000000000002E-2</v>
      </c>
      <c r="F388" s="36">
        <v>5.1999999999999998E-2</v>
      </c>
      <c r="G388" s="36">
        <v>5.0999999999999997E-2</v>
      </c>
      <c r="H388" s="39">
        <v>0.05</v>
      </c>
      <c r="I388" s="22">
        <v>0.05</v>
      </c>
      <c r="J388" s="20">
        <v>4.2999999999999997E-2</v>
      </c>
      <c r="K388" s="39">
        <v>5.0999999999999997E-2</v>
      </c>
      <c r="L388" s="23">
        <v>4.5999999999999999E-2</v>
      </c>
      <c r="M388" s="23">
        <v>4.7E-2</v>
      </c>
      <c r="N388" s="20">
        <v>4.2999999999999997E-2</v>
      </c>
      <c r="O388" s="18" t="s">
        <v>39</v>
      </c>
    </row>
    <row r="389" spans="2:15" x14ac:dyDescent="0.2">
      <c r="B389" s="133"/>
      <c r="C389" s="22">
        <v>2.5000000000000001E-2</v>
      </c>
      <c r="D389" s="39">
        <v>2.7E-2</v>
      </c>
      <c r="E389" s="39">
        <v>2.7E-2</v>
      </c>
      <c r="F389" s="39">
        <v>2.5999999999999999E-2</v>
      </c>
      <c r="G389" s="31">
        <v>2.1999999999999999E-2</v>
      </c>
      <c r="H389" s="36">
        <v>2.7E-2</v>
      </c>
      <c r="I389" s="31">
        <v>2.3E-2</v>
      </c>
      <c r="J389" s="39">
        <v>2.5999999999999999E-2</v>
      </c>
      <c r="K389" s="22">
        <v>2.5000000000000001E-2</v>
      </c>
      <c r="L389" s="32">
        <v>3.1E-2</v>
      </c>
      <c r="M389" s="30">
        <v>3.1E-2</v>
      </c>
      <c r="N389" s="36">
        <v>2.8000000000000001E-2</v>
      </c>
      <c r="O389" s="18" t="s">
        <v>40</v>
      </c>
    </row>
    <row r="390" spans="2:15" x14ac:dyDescent="0.2">
      <c r="B390" s="133"/>
      <c r="C390" s="19">
        <v>4.1000000000000002E-2</v>
      </c>
      <c r="D390" s="37">
        <v>1.1180000000000001</v>
      </c>
      <c r="E390" s="19">
        <v>5.7000000000000002E-2</v>
      </c>
      <c r="F390" s="22">
        <v>0.70699999999999996</v>
      </c>
      <c r="G390" s="26">
        <v>0.34100000000000003</v>
      </c>
      <c r="H390" s="37">
        <v>1.129</v>
      </c>
      <c r="I390" s="36">
        <v>0.89</v>
      </c>
      <c r="J390" s="19">
        <v>8.8999999999999996E-2</v>
      </c>
      <c r="K390" s="31">
        <v>0.61599999999999999</v>
      </c>
      <c r="L390" s="30">
        <v>1.014</v>
      </c>
      <c r="M390" s="22">
        <v>0.71</v>
      </c>
      <c r="N390" s="19">
        <v>4.1000000000000002E-2</v>
      </c>
      <c r="O390" s="18">
        <v>570</v>
      </c>
    </row>
    <row r="391" spans="2:15" x14ac:dyDescent="0.2">
      <c r="B391" s="134"/>
      <c r="C391" s="27">
        <v>1.6479999999999999</v>
      </c>
      <c r="D391" s="27">
        <v>41.933</v>
      </c>
      <c r="E391" s="27">
        <v>2.1190000000000002</v>
      </c>
      <c r="F391" s="27">
        <v>27.091999999999999</v>
      </c>
      <c r="G391" s="27">
        <v>15.321999999999999</v>
      </c>
      <c r="H391" s="27">
        <v>41.462000000000003</v>
      </c>
      <c r="I391" s="27">
        <v>39.069000000000003</v>
      </c>
      <c r="J391" s="27">
        <v>3.4710000000000001</v>
      </c>
      <c r="K391" s="27">
        <v>24.652000000000001</v>
      </c>
      <c r="L391" s="27">
        <v>33.168999999999997</v>
      </c>
      <c r="M391" s="27">
        <v>22.805</v>
      </c>
      <c r="N391" s="27">
        <v>1.4830000000000001</v>
      </c>
      <c r="O391" s="18" t="s">
        <v>41</v>
      </c>
    </row>
    <row r="392" spans="2:15" x14ac:dyDescent="0.2">
      <c r="B392" s="132" t="s">
        <v>8</v>
      </c>
      <c r="C392" s="15">
        <v>4.8000000000000001E-2</v>
      </c>
      <c r="D392" s="29">
        <v>4.9000000000000002E-2</v>
      </c>
      <c r="E392" s="29">
        <v>0.05</v>
      </c>
      <c r="F392" s="64">
        <v>5.2999999999999999E-2</v>
      </c>
      <c r="G392" s="35">
        <v>5.6000000000000001E-2</v>
      </c>
      <c r="H392" s="29">
        <v>0.05</v>
      </c>
      <c r="I392" s="35">
        <v>5.6000000000000001E-2</v>
      </c>
      <c r="J392" s="64">
        <v>5.2999999999999999E-2</v>
      </c>
      <c r="K392" s="29">
        <v>0.05</v>
      </c>
      <c r="L392" s="15">
        <v>4.8000000000000001E-2</v>
      </c>
      <c r="M392" s="68">
        <v>5.7000000000000002E-2</v>
      </c>
      <c r="N392" s="14">
        <v>4.5999999999999999E-2</v>
      </c>
      <c r="O392" s="18" t="s">
        <v>38</v>
      </c>
    </row>
    <row r="393" spans="2:15" x14ac:dyDescent="0.2">
      <c r="B393" s="133"/>
      <c r="C393" s="20">
        <v>4.2999999999999997E-2</v>
      </c>
      <c r="D393" s="25">
        <v>4.4999999999999998E-2</v>
      </c>
      <c r="E393" s="25">
        <v>4.4999999999999998E-2</v>
      </c>
      <c r="F393" s="31">
        <v>4.9000000000000002E-2</v>
      </c>
      <c r="G393" s="39">
        <v>5.0999999999999997E-2</v>
      </c>
      <c r="H393" s="26">
        <v>4.4999999999999998E-2</v>
      </c>
      <c r="I393" s="36">
        <v>5.0999999999999997E-2</v>
      </c>
      <c r="J393" s="24">
        <v>4.8000000000000001E-2</v>
      </c>
      <c r="K393" s="31">
        <v>4.8000000000000001E-2</v>
      </c>
      <c r="L393" s="20">
        <v>4.2999999999999997E-2</v>
      </c>
      <c r="M393" s="32">
        <v>5.1999999999999998E-2</v>
      </c>
      <c r="N393" s="21">
        <v>4.2000000000000003E-2</v>
      </c>
      <c r="O393" s="18" t="s">
        <v>39</v>
      </c>
    </row>
    <row r="394" spans="2:15" x14ac:dyDescent="0.2">
      <c r="B394" s="133"/>
      <c r="C394" s="36">
        <v>2.7E-2</v>
      </c>
      <c r="D394" s="31">
        <v>2.3E-2</v>
      </c>
      <c r="E394" s="22">
        <v>2.5000000000000001E-2</v>
      </c>
      <c r="F394" s="22">
        <v>2.4E-2</v>
      </c>
      <c r="G394" s="32">
        <v>2.9000000000000001E-2</v>
      </c>
      <c r="H394" s="32">
        <v>2.9000000000000001E-2</v>
      </c>
      <c r="I394" s="39">
        <v>2.5999999999999999E-2</v>
      </c>
      <c r="J394" s="36">
        <v>2.7E-2</v>
      </c>
      <c r="K394" s="19">
        <v>8.9999999999999993E-3</v>
      </c>
      <c r="L394" s="39">
        <v>2.7E-2</v>
      </c>
      <c r="M394" s="22">
        <v>2.4E-2</v>
      </c>
      <c r="N394" s="22">
        <v>2.5000000000000001E-2</v>
      </c>
      <c r="O394" s="18" t="s">
        <v>40</v>
      </c>
    </row>
    <row r="395" spans="2:15" x14ac:dyDescent="0.2">
      <c r="B395" s="133"/>
      <c r="C395" s="19">
        <v>4.1000000000000002E-2</v>
      </c>
      <c r="D395" s="21">
        <v>0.13700000000000001</v>
      </c>
      <c r="E395" s="19">
        <v>4.5999999999999999E-2</v>
      </c>
      <c r="F395" s="36">
        <v>0.84399999999999997</v>
      </c>
      <c r="G395" s="25">
        <v>0.36599999999999999</v>
      </c>
      <c r="H395" s="20">
        <v>0.216</v>
      </c>
      <c r="I395" s="32">
        <v>0.95699999999999996</v>
      </c>
      <c r="J395" s="23">
        <v>0.44</v>
      </c>
      <c r="K395" s="24">
        <v>0.57799999999999996</v>
      </c>
      <c r="L395" s="21">
        <v>0.14499999999999999</v>
      </c>
      <c r="M395" s="39">
        <v>0.78200000000000003</v>
      </c>
      <c r="N395" s="19">
        <v>4.1000000000000002E-2</v>
      </c>
      <c r="O395" s="18">
        <v>570</v>
      </c>
    </row>
    <row r="396" spans="2:15" x14ac:dyDescent="0.2">
      <c r="B396" s="134"/>
      <c r="C396" s="27">
        <v>1.488</v>
      </c>
      <c r="D396" s="27">
        <v>5.867</v>
      </c>
      <c r="E396" s="27">
        <v>1.86</v>
      </c>
      <c r="F396" s="27">
        <v>34.518999999999998</v>
      </c>
      <c r="G396" s="27">
        <v>12.44</v>
      </c>
      <c r="H396" s="27">
        <v>7.3289999999999997</v>
      </c>
      <c r="I396" s="27">
        <v>37.444000000000003</v>
      </c>
      <c r="J396" s="27">
        <v>16.145</v>
      </c>
      <c r="K396" s="27">
        <v>65.058999999999997</v>
      </c>
      <c r="L396" s="27">
        <v>5.4379999999999997</v>
      </c>
      <c r="M396" s="27">
        <v>32.743000000000002</v>
      </c>
      <c r="N396" s="27">
        <v>1.6479999999999999</v>
      </c>
      <c r="O396" s="18" t="s">
        <v>41</v>
      </c>
    </row>
    <row r="397" spans="2:15" x14ac:dyDescent="0.2">
      <c r="B397" s="132" t="s">
        <v>9</v>
      </c>
      <c r="C397" s="16">
        <v>4.4999999999999998E-2</v>
      </c>
      <c r="D397" s="28">
        <v>4.9000000000000002E-2</v>
      </c>
      <c r="E397" s="16">
        <v>4.4999999999999998E-2</v>
      </c>
      <c r="F397" s="29">
        <v>0.05</v>
      </c>
      <c r="G397" s="14">
        <v>4.5999999999999999E-2</v>
      </c>
      <c r="H397" s="15">
        <v>4.7E-2</v>
      </c>
      <c r="I397" s="15">
        <v>4.8000000000000001E-2</v>
      </c>
      <c r="J397" s="28">
        <v>4.8000000000000001E-2</v>
      </c>
      <c r="K397" s="28">
        <v>4.8000000000000001E-2</v>
      </c>
      <c r="L397" s="28">
        <v>4.8000000000000001E-2</v>
      </c>
      <c r="M397" s="28">
        <v>4.8000000000000001E-2</v>
      </c>
      <c r="N397" s="29">
        <v>0.05</v>
      </c>
      <c r="O397" s="18" t="s">
        <v>38</v>
      </c>
    </row>
    <row r="398" spans="2:15" x14ac:dyDescent="0.2">
      <c r="B398" s="133"/>
      <c r="C398" s="19">
        <v>4.1000000000000002E-2</v>
      </c>
      <c r="D398" s="20">
        <v>4.2999999999999997E-2</v>
      </c>
      <c r="E398" s="19">
        <v>4.1000000000000002E-2</v>
      </c>
      <c r="F398" s="25">
        <v>4.4999999999999998E-2</v>
      </c>
      <c r="G398" s="21">
        <v>4.2000000000000003E-2</v>
      </c>
      <c r="H398" s="21">
        <v>4.2000000000000003E-2</v>
      </c>
      <c r="I398" s="20">
        <v>4.2999999999999997E-2</v>
      </c>
      <c r="J398" s="26">
        <v>4.3999999999999997E-2</v>
      </c>
      <c r="K398" s="21">
        <v>4.2999999999999997E-2</v>
      </c>
      <c r="L398" s="20">
        <v>4.2999999999999997E-2</v>
      </c>
      <c r="M398" s="20">
        <v>4.2999999999999997E-2</v>
      </c>
      <c r="N398" s="26">
        <v>4.4999999999999998E-2</v>
      </c>
      <c r="O398" s="18" t="s">
        <v>39</v>
      </c>
    </row>
    <row r="399" spans="2:15" x14ac:dyDescent="0.2">
      <c r="B399" s="133"/>
      <c r="C399" s="22">
        <v>2.4E-2</v>
      </c>
      <c r="D399" s="32">
        <v>3.1E-2</v>
      </c>
      <c r="E399" s="22">
        <v>2.4E-2</v>
      </c>
      <c r="F399" s="36">
        <v>2.7E-2</v>
      </c>
      <c r="G399" s="36">
        <v>2.7E-2</v>
      </c>
      <c r="H399" s="39">
        <v>2.7E-2</v>
      </c>
      <c r="I399" s="36">
        <v>2.8000000000000001E-2</v>
      </c>
      <c r="J399" s="22">
        <v>2.4E-2</v>
      </c>
      <c r="K399" s="30">
        <v>3.2000000000000001E-2</v>
      </c>
      <c r="L399" s="36">
        <v>2.7E-2</v>
      </c>
      <c r="M399" s="32">
        <v>2.9000000000000001E-2</v>
      </c>
      <c r="N399" s="36">
        <v>2.8000000000000001E-2</v>
      </c>
      <c r="O399" s="18" t="s">
        <v>40</v>
      </c>
    </row>
    <row r="400" spans="2:15" x14ac:dyDescent="0.2">
      <c r="B400" s="133"/>
      <c r="C400" s="19">
        <v>4.1000000000000002E-2</v>
      </c>
      <c r="D400" s="19">
        <v>4.2000000000000003E-2</v>
      </c>
      <c r="E400" s="19">
        <v>4.1000000000000002E-2</v>
      </c>
      <c r="F400" s="19">
        <v>4.2999999999999997E-2</v>
      </c>
      <c r="G400" s="19">
        <v>4.2000000000000003E-2</v>
      </c>
      <c r="H400" s="19">
        <v>4.2000000000000003E-2</v>
      </c>
      <c r="I400" s="19">
        <v>4.1000000000000002E-2</v>
      </c>
      <c r="J400" s="19">
        <v>4.2999999999999997E-2</v>
      </c>
      <c r="K400" s="19">
        <v>4.2000000000000003E-2</v>
      </c>
      <c r="L400" s="19">
        <v>4.2999999999999997E-2</v>
      </c>
      <c r="M400" s="19">
        <v>4.1000000000000002E-2</v>
      </c>
      <c r="N400" s="19">
        <v>4.2999999999999997E-2</v>
      </c>
      <c r="O400" s="18">
        <v>570</v>
      </c>
    </row>
    <row r="401" spans="1:15" x14ac:dyDescent="0.2">
      <c r="B401" s="134"/>
      <c r="C401" s="27">
        <v>1.72</v>
      </c>
      <c r="D401" s="27">
        <v>1.3580000000000001</v>
      </c>
      <c r="E401" s="27">
        <v>1.708</v>
      </c>
      <c r="F401" s="27">
        <v>1.5760000000000001</v>
      </c>
      <c r="G401" s="27">
        <v>1.554</v>
      </c>
      <c r="H401" s="27">
        <v>1.5680000000000001</v>
      </c>
      <c r="I401" s="27">
        <v>1.4510000000000001</v>
      </c>
      <c r="J401" s="27">
        <v>1.7470000000000001</v>
      </c>
      <c r="K401" s="27">
        <v>1.3260000000000001</v>
      </c>
      <c r="L401" s="27">
        <v>1.58</v>
      </c>
      <c r="M401" s="27">
        <v>1.403</v>
      </c>
      <c r="N401" s="27">
        <v>1.5409999999999999</v>
      </c>
      <c r="O401" s="18" t="s">
        <v>41</v>
      </c>
    </row>
    <row r="404" spans="1:15" x14ac:dyDescent="0.2">
      <c r="A404" t="s">
        <v>10</v>
      </c>
      <c r="B404" t="s">
        <v>11</v>
      </c>
      <c r="D404" s="7" t="s">
        <v>86</v>
      </c>
      <c r="E404" s="40">
        <v>45378</v>
      </c>
      <c r="F404" s="7" t="s">
        <v>69</v>
      </c>
    </row>
    <row r="406" spans="1:15" x14ac:dyDescent="0.2">
      <c r="A406" t="s">
        <v>12</v>
      </c>
    </row>
    <row r="407" spans="1:15" x14ac:dyDescent="0.2">
      <c r="A407" t="s">
        <v>13</v>
      </c>
      <c r="B407" t="s">
        <v>14</v>
      </c>
    </row>
    <row r="408" spans="1:15" x14ac:dyDescent="0.2">
      <c r="A408" t="s">
        <v>15</v>
      </c>
      <c r="B408" t="s">
        <v>69</v>
      </c>
    </row>
    <row r="409" spans="1:15" x14ac:dyDescent="0.2">
      <c r="A409" t="s">
        <v>17</v>
      </c>
      <c r="B409" s="8">
        <v>45378</v>
      </c>
    </row>
    <row r="410" spans="1:15" x14ac:dyDescent="0.2">
      <c r="A410" t="s">
        <v>18</v>
      </c>
      <c r="B410" s="9">
        <v>0.70423611111111117</v>
      </c>
    </row>
    <row r="411" spans="1:15" x14ac:dyDescent="0.2">
      <c r="A411" t="s">
        <v>19</v>
      </c>
      <c r="B411" t="s">
        <v>20</v>
      </c>
    </row>
    <row r="412" spans="1:15" x14ac:dyDescent="0.2">
      <c r="A412" t="s">
        <v>21</v>
      </c>
      <c r="B412" t="s">
        <v>22</v>
      </c>
    </row>
    <row r="413" spans="1:15" x14ac:dyDescent="0.2">
      <c r="A413" t="s">
        <v>23</v>
      </c>
      <c r="B413" t="s">
        <v>24</v>
      </c>
    </row>
    <row r="415" spans="1:15" x14ac:dyDescent="0.2">
      <c r="A415" s="10" t="s">
        <v>25</v>
      </c>
      <c r="B415" s="11"/>
    </row>
    <row r="416" spans="1:15" x14ac:dyDescent="0.2">
      <c r="A416" t="s">
        <v>26</v>
      </c>
      <c r="B416" t="s">
        <v>27</v>
      </c>
    </row>
    <row r="417" spans="1:15" x14ac:dyDescent="0.2">
      <c r="A417" t="s">
        <v>28</v>
      </c>
    </row>
    <row r="418" spans="1:15" x14ac:dyDescent="0.2">
      <c r="A418" t="s">
        <v>29</v>
      </c>
      <c r="B418" t="s">
        <v>30</v>
      </c>
    </row>
    <row r="419" spans="1:15" x14ac:dyDescent="0.2">
      <c r="B419" t="s">
        <v>31</v>
      </c>
    </row>
    <row r="420" spans="1:15" x14ac:dyDescent="0.2">
      <c r="B420" t="s">
        <v>32</v>
      </c>
    </row>
    <row r="421" spans="1:15" x14ac:dyDescent="0.2">
      <c r="B421" t="s">
        <v>33</v>
      </c>
    </row>
    <row r="422" spans="1:15" x14ac:dyDescent="0.2">
      <c r="B422" t="s">
        <v>34</v>
      </c>
    </row>
    <row r="423" spans="1:15" x14ac:dyDescent="0.2">
      <c r="B423" t="s">
        <v>35</v>
      </c>
    </row>
    <row r="425" spans="1:15" x14ac:dyDescent="0.2">
      <c r="A425" s="10" t="s">
        <v>36</v>
      </c>
      <c r="B425" s="11"/>
    </row>
    <row r="426" spans="1:15" x14ac:dyDescent="0.2">
      <c r="A426" t="s">
        <v>37</v>
      </c>
      <c r="B426">
        <v>20.8</v>
      </c>
    </row>
    <row r="428" spans="1:15" x14ac:dyDescent="0.2">
      <c r="B428" s="12"/>
      <c r="C428" s="13">
        <v>1</v>
      </c>
      <c r="D428" s="13">
        <v>2</v>
      </c>
      <c r="E428" s="13">
        <v>3</v>
      </c>
      <c r="F428" s="13">
        <v>4</v>
      </c>
      <c r="G428" s="13">
        <v>5</v>
      </c>
      <c r="H428" s="13">
        <v>6</v>
      </c>
      <c r="I428" s="13">
        <v>7</v>
      </c>
      <c r="J428" s="13">
        <v>8</v>
      </c>
      <c r="K428" s="13">
        <v>9</v>
      </c>
      <c r="L428" s="13">
        <v>10</v>
      </c>
      <c r="M428" s="13">
        <v>11</v>
      </c>
      <c r="N428" s="13">
        <v>12</v>
      </c>
    </row>
    <row r="429" spans="1:15" x14ac:dyDescent="0.2">
      <c r="B429" s="132" t="s">
        <v>0</v>
      </c>
      <c r="C429" s="14">
        <v>5.0999999999999997E-2</v>
      </c>
      <c r="D429" s="14">
        <v>0.05</v>
      </c>
      <c r="E429" s="16">
        <v>4.9000000000000002E-2</v>
      </c>
      <c r="F429" s="16">
        <v>4.9000000000000002E-2</v>
      </c>
      <c r="G429" s="16">
        <v>4.7E-2</v>
      </c>
      <c r="H429" s="16">
        <v>0.05</v>
      </c>
      <c r="I429" s="16">
        <v>4.9000000000000002E-2</v>
      </c>
      <c r="J429" s="16">
        <v>4.8000000000000001E-2</v>
      </c>
      <c r="K429" s="16">
        <v>4.7E-2</v>
      </c>
      <c r="L429" s="14">
        <v>0.05</v>
      </c>
      <c r="M429" s="16">
        <v>4.8000000000000001E-2</v>
      </c>
      <c r="N429" s="16">
        <v>4.5999999999999999E-2</v>
      </c>
      <c r="O429" s="18" t="s">
        <v>38</v>
      </c>
    </row>
    <row r="430" spans="1:15" x14ac:dyDescent="0.2">
      <c r="B430" s="133"/>
      <c r="C430" s="21">
        <v>4.4999999999999998E-2</v>
      </c>
      <c r="D430" s="19">
        <v>4.3999999999999997E-2</v>
      </c>
      <c r="E430" s="19">
        <v>4.3999999999999997E-2</v>
      </c>
      <c r="F430" s="19">
        <v>4.2999999999999997E-2</v>
      </c>
      <c r="G430" s="19">
        <v>4.2000000000000003E-2</v>
      </c>
      <c r="H430" s="19">
        <v>4.3999999999999997E-2</v>
      </c>
      <c r="I430" s="19">
        <v>4.2999999999999997E-2</v>
      </c>
      <c r="J430" s="19">
        <v>4.2000000000000003E-2</v>
      </c>
      <c r="K430" s="19">
        <v>4.2000000000000003E-2</v>
      </c>
      <c r="L430" s="19">
        <v>4.3999999999999997E-2</v>
      </c>
      <c r="M430" s="19">
        <v>4.2999999999999997E-2</v>
      </c>
      <c r="N430" s="19">
        <v>4.1000000000000002E-2</v>
      </c>
      <c r="O430" s="18" t="s">
        <v>39</v>
      </c>
    </row>
    <row r="431" spans="1:15" x14ac:dyDescent="0.2">
      <c r="B431" s="133"/>
      <c r="C431" s="31">
        <v>3.1E-2</v>
      </c>
      <c r="D431" s="36">
        <v>3.4000000000000002E-2</v>
      </c>
      <c r="E431" s="24">
        <v>2.8000000000000001E-2</v>
      </c>
      <c r="F431" s="39">
        <v>3.3000000000000002E-2</v>
      </c>
      <c r="G431" s="23">
        <v>2.7E-2</v>
      </c>
      <c r="H431" s="22">
        <v>3.1E-2</v>
      </c>
      <c r="I431" s="39">
        <v>3.2000000000000001E-2</v>
      </c>
      <c r="J431" s="39">
        <v>3.3000000000000002E-2</v>
      </c>
      <c r="K431" s="24">
        <v>2.8000000000000001E-2</v>
      </c>
      <c r="L431" s="36">
        <v>3.4000000000000002E-2</v>
      </c>
      <c r="M431" s="24">
        <v>2.8000000000000001E-2</v>
      </c>
      <c r="N431" s="24">
        <v>2.9000000000000001E-2</v>
      </c>
      <c r="O431" s="18" t="s">
        <v>40</v>
      </c>
    </row>
    <row r="432" spans="1:15" x14ac:dyDescent="0.2">
      <c r="B432" s="133"/>
      <c r="C432" s="19">
        <v>4.2999999999999997E-2</v>
      </c>
      <c r="D432" s="19">
        <v>4.2999999999999997E-2</v>
      </c>
      <c r="E432" s="19">
        <v>4.3999999999999997E-2</v>
      </c>
      <c r="F432" s="19">
        <v>4.2000000000000003E-2</v>
      </c>
      <c r="G432" s="19">
        <v>4.2000000000000003E-2</v>
      </c>
      <c r="H432" s="19">
        <v>4.2999999999999997E-2</v>
      </c>
      <c r="I432" s="19">
        <v>4.2000000000000003E-2</v>
      </c>
      <c r="J432" s="19">
        <v>4.1000000000000002E-2</v>
      </c>
      <c r="K432" s="19">
        <v>4.1000000000000002E-2</v>
      </c>
      <c r="L432" s="19">
        <v>4.2999999999999997E-2</v>
      </c>
      <c r="M432" s="19">
        <v>0.04</v>
      </c>
      <c r="N432" s="19">
        <v>4.1000000000000002E-2</v>
      </c>
      <c r="O432" s="18">
        <v>570</v>
      </c>
    </row>
    <row r="433" spans="2:15" x14ac:dyDescent="0.2">
      <c r="B433" s="134"/>
      <c r="C433" s="27">
        <v>1.4239999999999999</v>
      </c>
      <c r="D433" s="27">
        <v>1.2569999999999999</v>
      </c>
      <c r="E433" s="27">
        <v>1.573</v>
      </c>
      <c r="F433" s="27">
        <v>1.2689999999999999</v>
      </c>
      <c r="G433" s="27">
        <v>1.5640000000000001</v>
      </c>
      <c r="H433" s="27">
        <v>1.379</v>
      </c>
      <c r="I433" s="27">
        <v>1.294</v>
      </c>
      <c r="J433" s="27">
        <v>1.2450000000000001</v>
      </c>
      <c r="K433" s="27">
        <v>1.458</v>
      </c>
      <c r="L433" s="27">
        <v>1.2749999999999999</v>
      </c>
      <c r="M433" s="27">
        <v>1.415</v>
      </c>
      <c r="N433" s="27">
        <v>1.405</v>
      </c>
      <c r="O433" s="18" t="s">
        <v>41</v>
      </c>
    </row>
    <row r="434" spans="2:15" x14ac:dyDescent="0.2">
      <c r="B434" s="132" t="s">
        <v>1</v>
      </c>
      <c r="C434" s="14">
        <v>0.05</v>
      </c>
      <c r="D434" s="15">
        <v>5.6000000000000001E-2</v>
      </c>
      <c r="E434" s="14">
        <v>0.05</v>
      </c>
      <c r="F434" s="16">
        <v>4.8000000000000001E-2</v>
      </c>
      <c r="G434" s="14">
        <v>5.2999999999999999E-2</v>
      </c>
      <c r="H434" s="28">
        <v>5.8999999999999997E-2</v>
      </c>
      <c r="I434" s="14">
        <v>5.2999999999999999E-2</v>
      </c>
      <c r="J434" s="14">
        <v>5.1999999999999998E-2</v>
      </c>
      <c r="K434" s="14">
        <v>5.0999999999999997E-2</v>
      </c>
      <c r="L434" s="14">
        <v>5.2999999999999999E-2</v>
      </c>
      <c r="M434" s="16">
        <v>4.9000000000000002E-2</v>
      </c>
      <c r="N434" s="16">
        <v>4.8000000000000001E-2</v>
      </c>
      <c r="O434" s="18" t="s">
        <v>38</v>
      </c>
    </row>
    <row r="435" spans="2:15" x14ac:dyDescent="0.2">
      <c r="B435" s="133"/>
      <c r="C435" s="21">
        <v>4.4999999999999998E-2</v>
      </c>
      <c r="D435" s="20">
        <v>0.05</v>
      </c>
      <c r="E435" s="21">
        <v>4.4999999999999998E-2</v>
      </c>
      <c r="F435" s="19">
        <v>4.2999999999999997E-2</v>
      </c>
      <c r="G435" s="21">
        <v>4.7E-2</v>
      </c>
      <c r="H435" s="26">
        <v>5.3999999999999999E-2</v>
      </c>
      <c r="I435" s="21">
        <v>4.8000000000000001E-2</v>
      </c>
      <c r="J435" s="21">
        <v>4.4999999999999998E-2</v>
      </c>
      <c r="K435" s="19">
        <v>4.3999999999999997E-2</v>
      </c>
      <c r="L435" s="21">
        <v>4.5999999999999999E-2</v>
      </c>
      <c r="M435" s="19">
        <v>4.2999999999999997E-2</v>
      </c>
      <c r="N435" s="19">
        <v>4.2000000000000003E-2</v>
      </c>
      <c r="O435" s="18" t="s">
        <v>39</v>
      </c>
    </row>
    <row r="436" spans="2:15" x14ac:dyDescent="0.2">
      <c r="B436" s="133"/>
      <c r="C436" s="24">
        <v>2.8000000000000001E-2</v>
      </c>
      <c r="D436" s="31">
        <v>3.1E-2</v>
      </c>
      <c r="E436" s="24">
        <v>2.8000000000000001E-2</v>
      </c>
      <c r="F436" s="25">
        <v>2.5999999999999999E-2</v>
      </c>
      <c r="G436" s="32">
        <v>3.5999999999999997E-2</v>
      </c>
      <c r="H436" s="24">
        <v>2.8000000000000001E-2</v>
      </c>
      <c r="I436" s="24">
        <v>2.9000000000000001E-2</v>
      </c>
      <c r="J436" s="32">
        <v>3.5999999999999997E-2</v>
      </c>
      <c r="K436" s="37">
        <v>3.9E-2</v>
      </c>
      <c r="L436" s="30">
        <v>3.6999999999999998E-2</v>
      </c>
      <c r="M436" s="32">
        <v>3.5999999999999997E-2</v>
      </c>
      <c r="N436" s="31">
        <v>2.9000000000000001E-2</v>
      </c>
      <c r="O436" s="18" t="s">
        <v>40</v>
      </c>
    </row>
    <row r="437" spans="2:15" x14ac:dyDescent="0.2">
      <c r="B437" s="133"/>
      <c r="C437" s="19">
        <v>4.3999999999999997E-2</v>
      </c>
      <c r="D437" s="30">
        <v>1.546</v>
      </c>
      <c r="E437" s="23">
        <v>0.64700000000000002</v>
      </c>
      <c r="F437" s="19">
        <v>7.4999999999999997E-2</v>
      </c>
      <c r="G437" s="23">
        <v>0.67500000000000004</v>
      </c>
      <c r="H437" s="32">
        <v>1.409</v>
      </c>
      <c r="I437" s="26">
        <v>0.50600000000000001</v>
      </c>
      <c r="J437" s="19">
        <v>5.1999999999999998E-2</v>
      </c>
      <c r="K437" s="25">
        <v>0.58699999999999997</v>
      </c>
      <c r="L437" s="36">
        <v>1.36</v>
      </c>
      <c r="M437" s="21">
        <v>0.17499999999999999</v>
      </c>
      <c r="N437" s="19">
        <v>4.1000000000000002E-2</v>
      </c>
      <c r="O437" s="18">
        <v>570</v>
      </c>
    </row>
    <row r="438" spans="2:15" x14ac:dyDescent="0.2">
      <c r="B438" s="134"/>
      <c r="C438" s="27">
        <v>1.5640000000000001</v>
      </c>
      <c r="D438" s="27">
        <v>50.6</v>
      </c>
      <c r="E438" s="27">
        <v>23.280999999999999</v>
      </c>
      <c r="F438" s="27">
        <v>2.95</v>
      </c>
      <c r="G438" s="27">
        <v>18.681000000000001</v>
      </c>
      <c r="H438" s="27">
        <v>50.728000000000002</v>
      </c>
      <c r="I438" s="27">
        <v>17.518999999999998</v>
      </c>
      <c r="J438" s="27">
        <v>1.4570000000000001</v>
      </c>
      <c r="K438" s="27">
        <v>14.872</v>
      </c>
      <c r="L438" s="27">
        <v>37.094000000000001</v>
      </c>
      <c r="M438" s="27">
        <v>4.9219999999999997</v>
      </c>
      <c r="N438" s="27">
        <v>1.375</v>
      </c>
      <c r="O438" s="18" t="s">
        <v>41</v>
      </c>
    </row>
    <row r="439" spans="2:15" x14ac:dyDescent="0.2">
      <c r="B439" s="132" t="s">
        <v>3</v>
      </c>
      <c r="C439" s="14">
        <v>0.05</v>
      </c>
      <c r="D439" s="14">
        <v>5.1999999999999998E-2</v>
      </c>
      <c r="E439" s="14">
        <v>5.0999999999999997E-2</v>
      </c>
      <c r="F439" s="14">
        <v>0.05</v>
      </c>
      <c r="G439" s="16">
        <v>0.05</v>
      </c>
      <c r="H439" s="14">
        <v>5.0999999999999997E-2</v>
      </c>
      <c r="I439" s="15">
        <v>5.6000000000000001E-2</v>
      </c>
      <c r="J439" s="14">
        <v>5.0999999999999997E-2</v>
      </c>
      <c r="K439" s="28">
        <v>5.8000000000000003E-2</v>
      </c>
      <c r="L439" s="16">
        <v>4.9000000000000002E-2</v>
      </c>
      <c r="M439" s="28">
        <v>5.8999999999999997E-2</v>
      </c>
      <c r="N439" s="16">
        <v>4.8000000000000001E-2</v>
      </c>
      <c r="O439" s="18" t="s">
        <v>38</v>
      </c>
    </row>
    <row r="440" spans="2:15" x14ac:dyDescent="0.2">
      <c r="B440" s="133"/>
      <c r="C440" s="19">
        <v>4.3999999999999997E-2</v>
      </c>
      <c r="D440" s="21">
        <v>4.8000000000000001E-2</v>
      </c>
      <c r="E440" s="21">
        <v>4.4999999999999998E-2</v>
      </c>
      <c r="F440" s="21">
        <v>4.4999999999999998E-2</v>
      </c>
      <c r="G440" s="21">
        <v>4.4999999999999998E-2</v>
      </c>
      <c r="H440" s="21">
        <v>4.5999999999999999E-2</v>
      </c>
      <c r="I440" s="20">
        <v>5.0999999999999997E-2</v>
      </c>
      <c r="J440" s="19">
        <v>4.4999999999999998E-2</v>
      </c>
      <c r="K440" s="26">
        <v>5.2999999999999999E-2</v>
      </c>
      <c r="L440" s="19">
        <v>4.2999999999999997E-2</v>
      </c>
      <c r="M440" s="26">
        <v>5.5E-2</v>
      </c>
      <c r="N440" s="19">
        <v>4.2999999999999997E-2</v>
      </c>
      <c r="O440" s="18" t="s">
        <v>39</v>
      </c>
    </row>
    <row r="441" spans="2:15" x14ac:dyDescent="0.2">
      <c r="B441" s="133"/>
      <c r="C441" s="39">
        <v>3.2000000000000001E-2</v>
      </c>
      <c r="D441" s="26">
        <v>2.4E-2</v>
      </c>
      <c r="E441" s="22">
        <v>3.1E-2</v>
      </c>
      <c r="F441" s="24">
        <v>2.8000000000000001E-2</v>
      </c>
      <c r="G441" s="23">
        <v>2.7E-2</v>
      </c>
      <c r="H441" s="25">
        <v>2.5999999999999999E-2</v>
      </c>
      <c r="I441" s="31">
        <v>3.1E-2</v>
      </c>
      <c r="J441" s="30">
        <v>3.6999999999999998E-2</v>
      </c>
      <c r="K441" s="26">
        <v>2.4E-2</v>
      </c>
      <c r="L441" s="39">
        <v>3.3000000000000002E-2</v>
      </c>
      <c r="M441" s="20">
        <v>2.3E-2</v>
      </c>
      <c r="N441" s="24">
        <v>2.8000000000000001E-2</v>
      </c>
      <c r="O441" s="18" t="s">
        <v>40</v>
      </c>
    </row>
    <row r="442" spans="2:15" x14ac:dyDescent="0.2">
      <c r="B442" s="133"/>
      <c r="C442" s="19">
        <v>4.1000000000000002E-2</v>
      </c>
      <c r="D442" s="21">
        <v>0.27800000000000002</v>
      </c>
      <c r="E442" s="24">
        <v>0.81200000000000006</v>
      </c>
      <c r="F442" s="21">
        <v>0.26800000000000002</v>
      </c>
      <c r="G442" s="24">
        <v>0.872</v>
      </c>
      <c r="H442" s="21">
        <v>0.23899999999999999</v>
      </c>
      <c r="I442" s="25">
        <v>0.57099999999999995</v>
      </c>
      <c r="J442" s="19">
        <v>0.10100000000000001</v>
      </c>
      <c r="K442" s="26">
        <v>0.45800000000000002</v>
      </c>
      <c r="L442" s="19">
        <v>0.104</v>
      </c>
      <c r="M442" s="26">
        <v>0.51900000000000002</v>
      </c>
      <c r="N442" s="19">
        <v>4.2000000000000003E-2</v>
      </c>
      <c r="O442" s="18">
        <v>570</v>
      </c>
    </row>
    <row r="443" spans="2:15" x14ac:dyDescent="0.2">
      <c r="B443" s="134"/>
      <c r="C443" s="27">
        <v>1.2789999999999999</v>
      </c>
      <c r="D443" s="27">
        <v>11.381</v>
      </c>
      <c r="E443" s="27">
        <v>26.113</v>
      </c>
      <c r="F443" s="27">
        <v>9.4550000000000001</v>
      </c>
      <c r="G443" s="27">
        <v>32.014000000000003</v>
      </c>
      <c r="H443" s="27">
        <v>9.3640000000000008</v>
      </c>
      <c r="I443" s="27">
        <v>18.673999999999999</v>
      </c>
      <c r="J443" s="27">
        <v>2.7440000000000002</v>
      </c>
      <c r="K443" s="27">
        <v>18.745000000000001</v>
      </c>
      <c r="L443" s="27">
        <v>3.1259999999999999</v>
      </c>
      <c r="M443" s="27">
        <v>22.806999999999999</v>
      </c>
      <c r="N443" s="27">
        <v>1.508</v>
      </c>
      <c r="O443" s="18" t="s">
        <v>41</v>
      </c>
    </row>
    <row r="444" spans="2:15" x14ac:dyDescent="0.2">
      <c r="B444" s="132" t="s">
        <v>5</v>
      </c>
      <c r="C444" s="14">
        <v>0.05</v>
      </c>
      <c r="D444" s="15">
        <v>5.3999999999999999E-2</v>
      </c>
      <c r="E444" s="28">
        <v>6.0999999999999999E-2</v>
      </c>
      <c r="F444" s="28">
        <v>5.8999999999999997E-2</v>
      </c>
      <c r="G444" s="15">
        <v>5.7000000000000002E-2</v>
      </c>
      <c r="H444" s="15">
        <v>5.3999999999999999E-2</v>
      </c>
      <c r="I444" s="14">
        <v>0.05</v>
      </c>
      <c r="J444" s="14">
        <v>5.1999999999999998E-2</v>
      </c>
      <c r="K444" s="14">
        <v>5.2999999999999999E-2</v>
      </c>
      <c r="L444" s="29">
        <v>6.3E-2</v>
      </c>
      <c r="M444" s="15">
        <v>5.3999999999999999E-2</v>
      </c>
      <c r="N444" s="14">
        <v>0.05</v>
      </c>
      <c r="O444" s="18" t="s">
        <v>38</v>
      </c>
    </row>
    <row r="445" spans="2:15" x14ac:dyDescent="0.2">
      <c r="B445" s="133"/>
      <c r="C445" s="19">
        <v>4.4999999999999998E-2</v>
      </c>
      <c r="D445" s="20">
        <v>4.9000000000000002E-2</v>
      </c>
      <c r="E445" s="25">
        <v>5.6000000000000001E-2</v>
      </c>
      <c r="F445" s="26">
        <v>5.5E-2</v>
      </c>
      <c r="G445" s="20">
        <v>5.1999999999999998E-2</v>
      </c>
      <c r="H445" s="20">
        <v>4.9000000000000002E-2</v>
      </c>
      <c r="I445" s="19">
        <v>4.3999999999999997E-2</v>
      </c>
      <c r="J445" s="21">
        <v>4.7E-2</v>
      </c>
      <c r="K445" s="21">
        <v>4.8000000000000001E-2</v>
      </c>
      <c r="L445" s="25">
        <v>5.8000000000000003E-2</v>
      </c>
      <c r="M445" s="21">
        <v>4.8000000000000001E-2</v>
      </c>
      <c r="N445" s="21">
        <v>4.4999999999999998E-2</v>
      </c>
      <c r="O445" s="18" t="s">
        <v>39</v>
      </c>
    </row>
    <row r="446" spans="2:15" x14ac:dyDescent="0.2">
      <c r="B446" s="133"/>
      <c r="C446" s="22">
        <v>3.1E-2</v>
      </c>
      <c r="D446" s="24">
        <v>2.8000000000000001E-2</v>
      </c>
      <c r="E446" s="26">
        <v>2.3E-2</v>
      </c>
      <c r="F446" s="25">
        <v>2.5000000000000001E-2</v>
      </c>
      <c r="G446" s="31">
        <v>0.03</v>
      </c>
      <c r="H446" s="31">
        <v>2.9000000000000001E-2</v>
      </c>
      <c r="I446" s="36">
        <v>3.4000000000000002E-2</v>
      </c>
      <c r="J446" s="31">
        <v>2.9000000000000001E-2</v>
      </c>
      <c r="K446" s="39">
        <v>3.2000000000000001E-2</v>
      </c>
      <c r="L446" s="24">
        <v>2.9000000000000001E-2</v>
      </c>
      <c r="M446" s="39">
        <v>3.3000000000000002E-2</v>
      </c>
      <c r="N446" s="31">
        <v>2.9000000000000001E-2</v>
      </c>
      <c r="O446" s="18" t="s">
        <v>40</v>
      </c>
    </row>
    <row r="447" spans="2:15" x14ac:dyDescent="0.2">
      <c r="B447" s="133"/>
      <c r="C447" s="19">
        <v>4.2000000000000003E-2</v>
      </c>
      <c r="D447" s="37">
        <v>1.7230000000000001</v>
      </c>
      <c r="E447" s="24">
        <v>0.76300000000000001</v>
      </c>
      <c r="F447" s="22">
        <v>1.091</v>
      </c>
      <c r="G447" s="23">
        <v>0.72099999999999997</v>
      </c>
      <c r="H447" s="30">
        <v>1.4970000000000001</v>
      </c>
      <c r="I447" s="39">
        <v>1.198</v>
      </c>
      <c r="J447" s="21">
        <v>0.19600000000000001</v>
      </c>
      <c r="K447" s="31">
        <v>0.91900000000000004</v>
      </c>
      <c r="L447" s="30">
        <v>1.5249999999999999</v>
      </c>
      <c r="M447" s="20">
        <v>0.36099999999999999</v>
      </c>
      <c r="N447" s="19">
        <v>4.2999999999999997E-2</v>
      </c>
      <c r="O447" s="18">
        <v>570</v>
      </c>
    </row>
    <row r="448" spans="2:15" x14ac:dyDescent="0.2">
      <c r="B448" s="134"/>
      <c r="C448" s="27">
        <v>1.3440000000000001</v>
      </c>
      <c r="D448" s="27">
        <v>60.805</v>
      </c>
      <c r="E448" s="27">
        <v>32.720999999999997</v>
      </c>
      <c r="F448" s="27">
        <v>43.64</v>
      </c>
      <c r="G448" s="27">
        <v>24.023</v>
      </c>
      <c r="H448" s="27">
        <v>50.841999999999999</v>
      </c>
      <c r="I448" s="27">
        <v>34.777999999999999</v>
      </c>
      <c r="J448" s="27">
        <v>6.657</v>
      </c>
      <c r="K448" s="27">
        <v>28.536000000000001</v>
      </c>
      <c r="L448" s="27">
        <v>52.795000000000002</v>
      </c>
      <c r="M448" s="27">
        <v>10.833</v>
      </c>
      <c r="N448" s="27">
        <v>1.4670000000000001</v>
      </c>
      <c r="O448" s="18" t="s">
        <v>41</v>
      </c>
    </row>
    <row r="449" spans="2:15" x14ac:dyDescent="0.2">
      <c r="B449" s="132" t="s">
        <v>6</v>
      </c>
      <c r="C449" s="16">
        <v>4.9000000000000002E-2</v>
      </c>
      <c r="D449" s="16">
        <v>0.05</v>
      </c>
      <c r="E449" s="15">
        <v>5.3999999999999999E-2</v>
      </c>
      <c r="F449" s="29">
        <v>6.3E-2</v>
      </c>
      <c r="G449" s="14">
        <v>5.0999999999999997E-2</v>
      </c>
      <c r="H449" s="16">
        <v>4.7E-2</v>
      </c>
      <c r="I449" s="16">
        <v>4.9000000000000002E-2</v>
      </c>
      <c r="J449" s="14">
        <v>5.0999999999999997E-2</v>
      </c>
      <c r="K449" s="15">
        <v>5.3999999999999999E-2</v>
      </c>
      <c r="L449" s="38">
        <v>9.7000000000000003E-2</v>
      </c>
      <c r="M449" s="35">
        <v>8.3000000000000004E-2</v>
      </c>
      <c r="N449" s="14">
        <v>5.0999999999999997E-2</v>
      </c>
      <c r="O449" s="18" t="s">
        <v>38</v>
      </c>
    </row>
    <row r="450" spans="2:15" x14ac:dyDescent="0.2">
      <c r="B450" s="133"/>
      <c r="C450" s="19">
        <v>4.2999999999999997E-2</v>
      </c>
      <c r="D450" s="19">
        <v>4.3999999999999997E-2</v>
      </c>
      <c r="E450" s="20">
        <v>4.9000000000000002E-2</v>
      </c>
      <c r="F450" s="23">
        <v>0.06</v>
      </c>
      <c r="G450" s="21">
        <v>4.5999999999999999E-2</v>
      </c>
      <c r="H450" s="19">
        <v>4.2999999999999997E-2</v>
      </c>
      <c r="I450" s="19">
        <v>4.3999999999999997E-2</v>
      </c>
      <c r="J450" s="19">
        <v>4.4999999999999998E-2</v>
      </c>
      <c r="K450" s="21">
        <v>4.8000000000000001E-2</v>
      </c>
      <c r="L450" s="37">
        <v>9.1999999999999998E-2</v>
      </c>
      <c r="M450" s="36">
        <v>7.9000000000000001E-2</v>
      </c>
      <c r="N450" s="19">
        <v>4.3999999999999997E-2</v>
      </c>
      <c r="O450" s="18" t="s">
        <v>39</v>
      </c>
    </row>
    <row r="451" spans="2:15" x14ac:dyDescent="0.2">
      <c r="B451" s="133"/>
      <c r="C451" s="24">
        <v>2.8000000000000001E-2</v>
      </c>
      <c r="D451" s="31">
        <v>3.1E-2</v>
      </c>
      <c r="E451" s="23">
        <v>2.7E-2</v>
      </c>
      <c r="F451" s="19">
        <v>1.9E-2</v>
      </c>
      <c r="G451" s="31">
        <v>2.9000000000000001E-2</v>
      </c>
      <c r="H451" s="25">
        <v>2.5999999999999999E-2</v>
      </c>
      <c r="I451" s="22">
        <v>3.1E-2</v>
      </c>
      <c r="J451" s="36">
        <v>3.4000000000000002E-2</v>
      </c>
      <c r="K451" s="36">
        <v>3.5000000000000003E-2</v>
      </c>
      <c r="L451" s="25">
        <v>2.5000000000000001E-2</v>
      </c>
      <c r="M451" s="26">
        <v>2.4E-2</v>
      </c>
      <c r="N451" s="36">
        <v>3.4000000000000002E-2</v>
      </c>
      <c r="O451" s="18" t="s">
        <v>40</v>
      </c>
    </row>
    <row r="452" spans="2:15" x14ac:dyDescent="0.2">
      <c r="B452" s="133"/>
      <c r="C452" s="19">
        <v>4.1000000000000002E-2</v>
      </c>
      <c r="D452" s="21">
        <v>0.16200000000000001</v>
      </c>
      <c r="E452" s="24">
        <v>0.81499999999999995</v>
      </c>
      <c r="F452" s="39">
        <v>1.1599999999999999</v>
      </c>
      <c r="G452" s="23">
        <v>0.67</v>
      </c>
      <c r="H452" s="21">
        <v>0.17399999999999999</v>
      </c>
      <c r="I452" s="36">
        <v>1.27</v>
      </c>
      <c r="J452" s="21">
        <v>0.192</v>
      </c>
      <c r="K452" s="22">
        <v>1.0209999999999999</v>
      </c>
      <c r="L452" s="21">
        <v>0.249</v>
      </c>
      <c r="M452" s="20">
        <v>0.35</v>
      </c>
      <c r="N452" s="19">
        <v>4.1000000000000002E-2</v>
      </c>
      <c r="O452" s="18">
        <v>570</v>
      </c>
    </row>
    <row r="453" spans="2:15" x14ac:dyDescent="0.2">
      <c r="B453" s="134"/>
      <c r="C453" s="27">
        <v>1.458</v>
      </c>
      <c r="D453" s="27">
        <v>5.2990000000000004</v>
      </c>
      <c r="E453" s="27">
        <v>29.931000000000001</v>
      </c>
      <c r="F453" s="27">
        <v>61.411999999999999</v>
      </c>
      <c r="G453" s="27">
        <v>22.762</v>
      </c>
      <c r="H453" s="27">
        <v>6.8049999999999997</v>
      </c>
      <c r="I453" s="27">
        <v>40.825000000000003</v>
      </c>
      <c r="J453" s="27">
        <v>5.66</v>
      </c>
      <c r="K453" s="27">
        <v>29.169</v>
      </c>
      <c r="L453" s="27">
        <v>9.98</v>
      </c>
      <c r="M453" s="27">
        <v>14.302</v>
      </c>
      <c r="N453" s="27">
        <v>1.21</v>
      </c>
      <c r="O453" s="18" t="s">
        <v>41</v>
      </c>
    </row>
    <row r="454" spans="2:15" x14ac:dyDescent="0.2">
      <c r="B454" s="132" t="s">
        <v>7</v>
      </c>
      <c r="C454" s="14">
        <v>5.0999999999999997E-2</v>
      </c>
      <c r="D454" s="15">
        <v>5.5E-2</v>
      </c>
      <c r="E454" s="16">
        <v>4.8000000000000001E-2</v>
      </c>
      <c r="F454" s="14">
        <v>5.0999999999999997E-2</v>
      </c>
      <c r="G454" s="29">
        <v>6.2E-2</v>
      </c>
      <c r="H454" s="28">
        <v>5.8000000000000003E-2</v>
      </c>
      <c r="I454" s="28">
        <v>0.06</v>
      </c>
      <c r="J454" s="16">
        <v>4.9000000000000002E-2</v>
      </c>
      <c r="K454" s="29">
        <v>6.3E-2</v>
      </c>
      <c r="L454" s="33">
        <v>6.8000000000000005E-2</v>
      </c>
      <c r="M454" s="33">
        <v>6.8000000000000005E-2</v>
      </c>
      <c r="N454" s="14">
        <v>5.1999999999999998E-2</v>
      </c>
      <c r="O454" s="18" t="s">
        <v>38</v>
      </c>
    </row>
    <row r="455" spans="2:15" x14ac:dyDescent="0.2">
      <c r="B455" s="133"/>
      <c r="C455" s="21">
        <v>4.7E-2</v>
      </c>
      <c r="D455" s="20">
        <v>0.05</v>
      </c>
      <c r="E455" s="19">
        <v>4.2999999999999997E-2</v>
      </c>
      <c r="F455" s="21">
        <v>4.5999999999999999E-2</v>
      </c>
      <c r="G455" s="25">
        <v>5.8999999999999997E-2</v>
      </c>
      <c r="H455" s="26">
        <v>5.2999999999999999E-2</v>
      </c>
      <c r="I455" s="25">
        <v>5.6000000000000001E-2</v>
      </c>
      <c r="J455" s="19">
        <v>4.2999999999999997E-2</v>
      </c>
      <c r="K455" s="25">
        <v>5.8000000000000003E-2</v>
      </c>
      <c r="L455" s="24">
        <v>6.4000000000000001E-2</v>
      </c>
      <c r="M455" s="23">
        <v>6.2E-2</v>
      </c>
      <c r="N455" s="21">
        <v>4.5999999999999999E-2</v>
      </c>
      <c r="O455" s="18" t="s">
        <v>39</v>
      </c>
    </row>
    <row r="456" spans="2:15" x14ac:dyDescent="0.2">
      <c r="B456" s="133"/>
      <c r="C456" s="25">
        <v>2.5000000000000001E-2</v>
      </c>
      <c r="D456" s="31">
        <v>3.1E-2</v>
      </c>
      <c r="E456" s="24">
        <v>2.8000000000000001E-2</v>
      </c>
      <c r="F456" s="25">
        <v>2.5999999999999999E-2</v>
      </c>
      <c r="G456" s="21">
        <v>2.1000000000000001E-2</v>
      </c>
      <c r="H456" s="22">
        <v>3.2000000000000001E-2</v>
      </c>
      <c r="I456" s="21">
        <v>2.1999999999999999E-2</v>
      </c>
      <c r="J456" s="22">
        <v>3.1E-2</v>
      </c>
      <c r="K456" s="25">
        <v>2.5999999999999999E-2</v>
      </c>
      <c r="L456" s="26">
        <v>2.4E-2</v>
      </c>
      <c r="M456" s="31">
        <v>0.03</v>
      </c>
      <c r="N456" s="39">
        <v>3.3000000000000002E-2</v>
      </c>
      <c r="O456" s="18" t="s">
        <v>40</v>
      </c>
    </row>
    <row r="457" spans="2:15" x14ac:dyDescent="0.2">
      <c r="B457" s="133"/>
      <c r="C457" s="19">
        <v>4.8000000000000001E-2</v>
      </c>
      <c r="D457" s="30">
        <v>1.5549999999999999</v>
      </c>
      <c r="E457" s="21">
        <v>0.217</v>
      </c>
      <c r="F457" s="22">
        <v>1.103</v>
      </c>
      <c r="G457" s="23">
        <v>0.67</v>
      </c>
      <c r="H457" s="37">
        <v>1.63</v>
      </c>
      <c r="I457" s="36">
        <v>1.3360000000000001</v>
      </c>
      <c r="J457" s="26">
        <v>0.41199999999999998</v>
      </c>
      <c r="K457" s="22">
        <v>1.095</v>
      </c>
      <c r="L457" s="37">
        <v>1.716</v>
      </c>
      <c r="M457" s="36">
        <v>1.264</v>
      </c>
      <c r="N457" s="19">
        <v>4.3999999999999997E-2</v>
      </c>
      <c r="O457" s="18">
        <v>570</v>
      </c>
    </row>
    <row r="458" spans="2:15" x14ac:dyDescent="0.2">
      <c r="B458" s="134"/>
      <c r="C458" s="27">
        <v>1.9079999999999999</v>
      </c>
      <c r="D458" s="27">
        <v>50.896999999999998</v>
      </c>
      <c r="E458" s="27">
        <v>7.6619999999999999</v>
      </c>
      <c r="F458" s="27">
        <v>42.222999999999999</v>
      </c>
      <c r="G458" s="27">
        <v>31.745999999999999</v>
      </c>
      <c r="H458" s="27">
        <v>51.470999999999997</v>
      </c>
      <c r="I458" s="27">
        <v>61.643000000000001</v>
      </c>
      <c r="J458" s="27">
        <v>13.233000000000001</v>
      </c>
      <c r="K458" s="27">
        <v>42.844000000000001</v>
      </c>
      <c r="L458" s="27">
        <v>70.207999999999998</v>
      </c>
      <c r="M458" s="27">
        <v>42.13</v>
      </c>
      <c r="N458" s="27">
        <v>1.3360000000000001</v>
      </c>
      <c r="O458" s="18" t="s">
        <v>41</v>
      </c>
    </row>
    <row r="459" spans="2:15" x14ac:dyDescent="0.2">
      <c r="B459" s="132" t="s">
        <v>8</v>
      </c>
      <c r="C459" s="16">
        <v>4.9000000000000002E-2</v>
      </c>
      <c r="D459" s="16">
        <v>4.9000000000000002E-2</v>
      </c>
      <c r="E459" s="16">
        <v>4.7E-2</v>
      </c>
      <c r="F459" s="28">
        <v>5.8000000000000003E-2</v>
      </c>
      <c r="G459" s="14">
        <v>0.05</v>
      </c>
      <c r="H459" s="29">
        <v>6.3E-2</v>
      </c>
      <c r="I459" s="14">
        <v>5.2999999999999999E-2</v>
      </c>
      <c r="J459" s="28">
        <v>5.7000000000000002E-2</v>
      </c>
      <c r="K459" s="16">
        <v>4.9000000000000002E-2</v>
      </c>
      <c r="L459" s="14">
        <v>5.2999999999999999E-2</v>
      </c>
      <c r="M459" s="29">
        <v>6.2E-2</v>
      </c>
      <c r="N459" s="16">
        <v>0.05</v>
      </c>
      <c r="O459" s="18" t="s">
        <v>38</v>
      </c>
    </row>
    <row r="460" spans="2:15" x14ac:dyDescent="0.2">
      <c r="B460" s="133"/>
      <c r="C460" s="19">
        <v>4.3999999999999997E-2</v>
      </c>
      <c r="D460" s="19">
        <v>4.2999999999999997E-2</v>
      </c>
      <c r="E460" s="19">
        <v>4.2000000000000003E-2</v>
      </c>
      <c r="F460" s="26">
        <v>5.3999999999999999E-2</v>
      </c>
      <c r="G460" s="19">
        <v>4.3999999999999997E-2</v>
      </c>
      <c r="H460" s="25">
        <v>5.8999999999999997E-2</v>
      </c>
      <c r="I460" s="21">
        <v>4.5999999999999999E-2</v>
      </c>
      <c r="J460" s="20">
        <v>5.0999999999999997E-2</v>
      </c>
      <c r="K460" s="19">
        <v>4.2999999999999997E-2</v>
      </c>
      <c r="L460" s="21">
        <v>4.5999999999999999E-2</v>
      </c>
      <c r="M460" s="25">
        <v>5.7000000000000002E-2</v>
      </c>
      <c r="N460" s="19">
        <v>4.3999999999999997E-2</v>
      </c>
      <c r="O460" s="18" t="s">
        <v>39</v>
      </c>
    </row>
    <row r="461" spans="2:15" x14ac:dyDescent="0.2">
      <c r="B461" s="133"/>
      <c r="C461" s="25">
        <v>2.5999999999999999E-2</v>
      </c>
      <c r="D461" s="36">
        <v>3.4000000000000002E-2</v>
      </c>
      <c r="E461" s="31">
        <v>2.9000000000000001E-2</v>
      </c>
      <c r="F461" s="19">
        <v>1.9E-2</v>
      </c>
      <c r="G461" s="36">
        <v>3.4000000000000002E-2</v>
      </c>
      <c r="H461" s="26">
        <v>2.3E-2</v>
      </c>
      <c r="I461" s="32">
        <v>3.5999999999999997E-2</v>
      </c>
      <c r="J461" s="30">
        <v>3.6999999999999998E-2</v>
      </c>
      <c r="K461" s="36">
        <v>3.4000000000000002E-2</v>
      </c>
      <c r="L461" s="32">
        <v>3.5999999999999997E-2</v>
      </c>
      <c r="M461" s="24">
        <v>2.9000000000000001E-2</v>
      </c>
      <c r="N461" s="31">
        <v>3.1E-2</v>
      </c>
      <c r="O461" s="18" t="s">
        <v>40</v>
      </c>
    </row>
    <row r="462" spans="2:15" x14ac:dyDescent="0.2">
      <c r="B462" s="133"/>
      <c r="C462" s="19">
        <v>4.2000000000000003E-2</v>
      </c>
      <c r="D462" s="19">
        <v>0.13500000000000001</v>
      </c>
      <c r="E462" s="19">
        <v>6.7000000000000004E-2</v>
      </c>
      <c r="F462" s="36">
        <v>1.355</v>
      </c>
      <c r="G462" s="21">
        <v>0.19800000000000001</v>
      </c>
      <c r="H462" s="20">
        <v>0.29899999999999999</v>
      </c>
      <c r="I462" s="39">
        <v>1.1559999999999999</v>
      </c>
      <c r="J462" s="24">
        <v>0.86099999999999999</v>
      </c>
      <c r="K462" s="22">
        <v>1.018</v>
      </c>
      <c r="L462" s="21">
        <v>0.23799999999999999</v>
      </c>
      <c r="M462" s="36">
        <v>1.258</v>
      </c>
      <c r="N462" s="19">
        <v>4.2000000000000003E-2</v>
      </c>
      <c r="O462" s="18">
        <v>570</v>
      </c>
    </row>
    <row r="463" spans="2:15" x14ac:dyDescent="0.2">
      <c r="B463" s="134"/>
      <c r="C463" s="27">
        <v>1.605</v>
      </c>
      <c r="D463" s="27">
        <v>3.9079999999999999</v>
      </c>
      <c r="E463" s="27">
        <v>2.2789999999999999</v>
      </c>
      <c r="F463" s="27">
        <v>69.674999999999997</v>
      </c>
      <c r="G463" s="27">
        <v>5.7450000000000001</v>
      </c>
      <c r="H463" s="27">
        <v>12.836</v>
      </c>
      <c r="I463" s="27">
        <v>32.003999999999998</v>
      </c>
      <c r="J463" s="27">
        <v>23.138999999999999</v>
      </c>
      <c r="K463" s="27">
        <v>29.558</v>
      </c>
      <c r="L463" s="27">
        <v>6.5960000000000001</v>
      </c>
      <c r="M463" s="27">
        <v>43.55</v>
      </c>
      <c r="N463" s="27">
        <v>1.3879999999999999</v>
      </c>
      <c r="O463" s="18" t="s">
        <v>41</v>
      </c>
    </row>
    <row r="464" spans="2:15" x14ac:dyDescent="0.2">
      <c r="B464" s="132" t="s">
        <v>9</v>
      </c>
      <c r="C464" s="16">
        <v>4.7E-2</v>
      </c>
      <c r="D464" s="16">
        <v>0.05</v>
      </c>
      <c r="E464" s="16">
        <v>4.9000000000000002E-2</v>
      </c>
      <c r="F464" s="14">
        <v>5.2999999999999999E-2</v>
      </c>
      <c r="G464" s="16">
        <v>0.05</v>
      </c>
      <c r="H464" s="15">
        <v>5.3999999999999999E-2</v>
      </c>
      <c r="I464" s="14">
        <v>5.1999999999999998E-2</v>
      </c>
      <c r="J464" s="16">
        <v>4.9000000000000002E-2</v>
      </c>
      <c r="K464" s="14">
        <v>5.0999999999999997E-2</v>
      </c>
      <c r="L464" s="16">
        <v>4.9000000000000002E-2</v>
      </c>
      <c r="M464" s="14">
        <v>0.05</v>
      </c>
      <c r="N464" s="16">
        <v>0.05</v>
      </c>
      <c r="O464" s="18" t="s">
        <v>38</v>
      </c>
    </row>
    <row r="465" spans="1:15" x14ac:dyDescent="0.2">
      <c r="B465" s="133"/>
      <c r="C465" s="19">
        <v>4.2000000000000003E-2</v>
      </c>
      <c r="D465" s="19">
        <v>4.3999999999999997E-2</v>
      </c>
      <c r="E465" s="19">
        <v>4.2000000000000003E-2</v>
      </c>
      <c r="F465" s="20">
        <v>4.9000000000000002E-2</v>
      </c>
      <c r="G465" s="19">
        <v>4.3999999999999997E-2</v>
      </c>
      <c r="H465" s="21">
        <v>4.8000000000000001E-2</v>
      </c>
      <c r="I465" s="21">
        <v>4.5999999999999999E-2</v>
      </c>
      <c r="J465" s="19">
        <v>4.2999999999999997E-2</v>
      </c>
      <c r="K465" s="19">
        <v>4.3999999999999997E-2</v>
      </c>
      <c r="L465" s="19">
        <v>4.2999999999999997E-2</v>
      </c>
      <c r="M465" s="19">
        <v>4.3999999999999997E-2</v>
      </c>
      <c r="N465" s="19">
        <v>4.3999999999999997E-2</v>
      </c>
      <c r="O465" s="18" t="s">
        <v>39</v>
      </c>
    </row>
    <row r="466" spans="1:15" x14ac:dyDescent="0.2">
      <c r="B466" s="133"/>
      <c r="C466" s="24">
        <v>2.8000000000000001E-2</v>
      </c>
      <c r="D466" s="22">
        <v>3.1E-2</v>
      </c>
      <c r="E466" s="36">
        <v>3.5000000000000003E-2</v>
      </c>
      <c r="F466" s="24">
        <v>2.8000000000000001E-2</v>
      </c>
      <c r="G466" s="31">
        <v>3.1E-2</v>
      </c>
      <c r="H466" s="22">
        <v>3.1E-2</v>
      </c>
      <c r="I466" s="39">
        <v>3.2000000000000001E-2</v>
      </c>
      <c r="J466" s="31">
        <v>3.1E-2</v>
      </c>
      <c r="K466" s="32">
        <v>3.5999999999999997E-2</v>
      </c>
      <c r="L466" s="39">
        <v>3.2000000000000001E-2</v>
      </c>
      <c r="M466" s="36">
        <v>3.5000000000000003E-2</v>
      </c>
      <c r="N466" s="39">
        <v>3.3000000000000002E-2</v>
      </c>
      <c r="O466" s="18" t="s">
        <v>40</v>
      </c>
    </row>
    <row r="467" spans="1:15" x14ac:dyDescent="0.2">
      <c r="B467" s="133"/>
      <c r="C467" s="19">
        <v>4.2000000000000003E-2</v>
      </c>
      <c r="D467" s="19">
        <v>4.1000000000000002E-2</v>
      </c>
      <c r="E467" s="19">
        <v>4.2000000000000003E-2</v>
      </c>
      <c r="F467" s="19">
        <v>4.8000000000000001E-2</v>
      </c>
      <c r="G467" s="19">
        <v>4.3999999999999997E-2</v>
      </c>
      <c r="H467" s="19">
        <v>4.9000000000000002E-2</v>
      </c>
      <c r="I467" s="19">
        <v>4.4999999999999998E-2</v>
      </c>
      <c r="J467" s="19">
        <v>4.1000000000000002E-2</v>
      </c>
      <c r="K467" s="19">
        <v>4.1000000000000002E-2</v>
      </c>
      <c r="L467" s="19">
        <v>4.1000000000000002E-2</v>
      </c>
      <c r="M467" s="19">
        <v>4.1000000000000002E-2</v>
      </c>
      <c r="N467" s="19">
        <v>0.04</v>
      </c>
      <c r="O467" s="18">
        <v>570</v>
      </c>
    </row>
    <row r="468" spans="1:15" x14ac:dyDescent="0.2">
      <c r="B468" s="134"/>
      <c r="C468" s="27">
        <v>1.4750000000000001</v>
      </c>
      <c r="D468" s="27">
        <v>1.3149999999999999</v>
      </c>
      <c r="E468" s="27">
        <v>1.2030000000000001</v>
      </c>
      <c r="F468" s="27">
        <v>1.7170000000000001</v>
      </c>
      <c r="G468" s="27">
        <v>1.456</v>
      </c>
      <c r="H468" s="27">
        <v>1.5649999999999999</v>
      </c>
      <c r="I468" s="27">
        <v>1.387</v>
      </c>
      <c r="J468" s="27">
        <v>1.3480000000000001</v>
      </c>
      <c r="K468" s="27">
        <v>1.1439999999999999</v>
      </c>
      <c r="L468" s="27">
        <v>1.2689999999999999</v>
      </c>
      <c r="M468" s="27">
        <v>1.177</v>
      </c>
      <c r="N468" s="27">
        <v>1.2230000000000001</v>
      </c>
      <c r="O468" s="18" t="s">
        <v>41</v>
      </c>
    </row>
    <row r="471" spans="1:15" x14ac:dyDescent="0.2">
      <c r="A471" t="s">
        <v>10</v>
      </c>
      <c r="B471" t="s">
        <v>11</v>
      </c>
      <c r="D471" s="7" t="s">
        <v>86</v>
      </c>
      <c r="E471" s="40">
        <v>45378</v>
      </c>
      <c r="F471" s="7" t="s">
        <v>68</v>
      </c>
    </row>
    <row r="473" spans="1:15" x14ac:dyDescent="0.2">
      <c r="A473" t="s">
        <v>12</v>
      </c>
    </row>
    <row r="474" spans="1:15" x14ac:dyDescent="0.2">
      <c r="A474" t="s">
        <v>13</v>
      </c>
      <c r="B474" t="s">
        <v>14</v>
      </c>
    </row>
    <row r="475" spans="1:15" x14ac:dyDescent="0.2">
      <c r="A475" t="s">
        <v>15</v>
      </c>
      <c r="B475" t="s">
        <v>68</v>
      </c>
    </row>
    <row r="476" spans="1:15" x14ac:dyDescent="0.2">
      <c r="A476" t="s">
        <v>17</v>
      </c>
      <c r="B476" s="8">
        <v>45378</v>
      </c>
    </row>
    <row r="477" spans="1:15" x14ac:dyDescent="0.2">
      <c r="A477" t="s">
        <v>18</v>
      </c>
      <c r="B477" s="9">
        <v>0.70199074074074075</v>
      </c>
    </row>
    <row r="478" spans="1:15" x14ac:dyDescent="0.2">
      <c r="A478" t="s">
        <v>19</v>
      </c>
      <c r="B478" t="s">
        <v>20</v>
      </c>
    </row>
    <row r="479" spans="1:15" x14ac:dyDescent="0.2">
      <c r="A479" t="s">
        <v>21</v>
      </c>
      <c r="B479" t="s">
        <v>22</v>
      </c>
    </row>
    <row r="480" spans="1:15" x14ac:dyDescent="0.2">
      <c r="A480" t="s">
        <v>23</v>
      </c>
      <c r="B480" t="s">
        <v>24</v>
      </c>
    </row>
    <row r="482" spans="1:15" x14ac:dyDescent="0.2">
      <c r="A482" s="10" t="s">
        <v>25</v>
      </c>
      <c r="B482" s="11"/>
    </row>
    <row r="483" spans="1:15" x14ac:dyDescent="0.2">
      <c r="A483" t="s">
        <v>26</v>
      </c>
      <c r="B483" t="s">
        <v>27</v>
      </c>
    </row>
    <row r="484" spans="1:15" x14ac:dyDescent="0.2">
      <c r="A484" t="s">
        <v>28</v>
      </c>
    </row>
    <row r="485" spans="1:15" x14ac:dyDescent="0.2">
      <c r="A485" t="s">
        <v>29</v>
      </c>
      <c r="B485" t="s">
        <v>30</v>
      </c>
    </row>
    <row r="486" spans="1:15" x14ac:dyDescent="0.2">
      <c r="B486" t="s">
        <v>31</v>
      </c>
    </row>
    <row r="487" spans="1:15" x14ac:dyDescent="0.2">
      <c r="B487" t="s">
        <v>32</v>
      </c>
    </row>
    <row r="488" spans="1:15" x14ac:dyDescent="0.2">
      <c r="B488" t="s">
        <v>33</v>
      </c>
    </row>
    <row r="489" spans="1:15" x14ac:dyDescent="0.2">
      <c r="B489" t="s">
        <v>34</v>
      </c>
    </row>
    <row r="490" spans="1:15" x14ac:dyDescent="0.2">
      <c r="B490" t="s">
        <v>35</v>
      </c>
    </row>
    <row r="492" spans="1:15" x14ac:dyDescent="0.2">
      <c r="A492" s="10" t="s">
        <v>36</v>
      </c>
      <c r="B492" s="11"/>
    </row>
    <row r="493" spans="1:15" x14ac:dyDescent="0.2">
      <c r="A493" t="s">
        <v>37</v>
      </c>
      <c r="B493">
        <v>20.8</v>
      </c>
    </row>
    <row r="495" spans="1:15" x14ac:dyDescent="0.2">
      <c r="B495" s="12"/>
      <c r="C495" s="13">
        <v>1</v>
      </c>
      <c r="D495" s="13">
        <v>2</v>
      </c>
      <c r="E495" s="13">
        <v>3</v>
      </c>
      <c r="F495" s="13">
        <v>4</v>
      </c>
      <c r="G495" s="13">
        <v>5</v>
      </c>
      <c r="H495" s="13">
        <v>6</v>
      </c>
      <c r="I495" s="13">
        <v>7</v>
      </c>
      <c r="J495" s="13">
        <v>8</v>
      </c>
      <c r="K495" s="13">
        <v>9</v>
      </c>
      <c r="L495" s="13">
        <v>10</v>
      </c>
      <c r="M495" s="13">
        <v>11</v>
      </c>
      <c r="N495" s="13">
        <v>12</v>
      </c>
    </row>
    <row r="496" spans="1:15" x14ac:dyDescent="0.2">
      <c r="B496" s="132" t="s">
        <v>0</v>
      </c>
      <c r="C496" s="14">
        <v>4.9000000000000002E-2</v>
      </c>
      <c r="D496" s="15">
        <v>0.05</v>
      </c>
      <c r="E496" s="16">
        <v>4.8000000000000001E-2</v>
      </c>
      <c r="F496" s="15">
        <v>5.0999999999999997E-2</v>
      </c>
      <c r="G496" s="16">
        <v>4.8000000000000001E-2</v>
      </c>
      <c r="H496" s="14">
        <v>4.8000000000000001E-2</v>
      </c>
      <c r="I496" s="15">
        <v>5.0999999999999997E-2</v>
      </c>
      <c r="J496" s="16">
        <v>4.8000000000000001E-2</v>
      </c>
      <c r="K496" s="16">
        <v>4.7E-2</v>
      </c>
      <c r="L496" s="16">
        <v>4.8000000000000001E-2</v>
      </c>
      <c r="M496" s="16">
        <v>4.8000000000000001E-2</v>
      </c>
      <c r="N496" s="16">
        <v>4.7E-2</v>
      </c>
      <c r="O496" s="18" t="s">
        <v>38</v>
      </c>
    </row>
    <row r="497" spans="2:15" x14ac:dyDescent="0.2">
      <c r="B497" s="133"/>
      <c r="C497" s="19">
        <v>4.2999999999999997E-2</v>
      </c>
      <c r="D497" s="21">
        <v>4.3999999999999997E-2</v>
      </c>
      <c r="E497" s="19">
        <v>4.2999999999999997E-2</v>
      </c>
      <c r="F497" s="21">
        <v>4.4999999999999998E-2</v>
      </c>
      <c r="G497" s="19">
        <v>4.2999999999999997E-2</v>
      </c>
      <c r="H497" s="19">
        <v>4.2999999999999997E-2</v>
      </c>
      <c r="I497" s="20">
        <v>4.4999999999999998E-2</v>
      </c>
      <c r="J497" s="19">
        <v>4.2000000000000003E-2</v>
      </c>
      <c r="K497" s="19">
        <v>4.2000000000000003E-2</v>
      </c>
      <c r="L497" s="19">
        <v>4.2000000000000003E-2</v>
      </c>
      <c r="M497" s="19">
        <v>4.2999999999999997E-2</v>
      </c>
      <c r="N497" s="19">
        <v>4.2000000000000003E-2</v>
      </c>
      <c r="O497" s="18" t="s">
        <v>39</v>
      </c>
    </row>
    <row r="498" spans="2:15" x14ac:dyDescent="0.2">
      <c r="B498" s="133"/>
      <c r="C498" s="36">
        <v>3.2000000000000001E-2</v>
      </c>
      <c r="D498" s="30">
        <v>3.5999999999999997E-2</v>
      </c>
      <c r="E498" s="39">
        <v>3.1E-2</v>
      </c>
      <c r="F498" s="32">
        <v>3.4000000000000002E-2</v>
      </c>
      <c r="G498" s="31">
        <v>2.8000000000000001E-2</v>
      </c>
      <c r="H498" s="36">
        <v>3.2000000000000001E-2</v>
      </c>
      <c r="I498" s="32">
        <v>3.3000000000000002E-2</v>
      </c>
      <c r="J498" s="36">
        <v>3.2000000000000001E-2</v>
      </c>
      <c r="K498" s="22">
        <v>2.8000000000000001E-2</v>
      </c>
      <c r="L498" s="32">
        <v>3.4000000000000002E-2</v>
      </c>
      <c r="M498" s="22">
        <v>2.9000000000000001E-2</v>
      </c>
      <c r="N498" s="39">
        <v>3.1E-2</v>
      </c>
      <c r="O498" s="18" t="s">
        <v>40</v>
      </c>
    </row>
    <row r="499" spans="2:15" x14ac:dyDescent="0.2">
      <c r="B499" s="133"/>
      <c r="C499" s="19">
        <v>4.1000000000000002E-2</v>
      </c>
      <c r="D499" s="19">
        <v>4.2000000000000003E-2</v>
      </c>
      <c r="E499" s="19">
        <v>4.1000000000000002E-2</v>
      </c>
      <c r="F499" s="19">
        <v>4.2000000000000003E-2</v>
      </c>
      <c r="G499" s="19">
        <v>4.1000000000000002E-2</v>
      </c>
      <c r="H499" s="19">
        <v>0.04</v>
      </c>
      <c r="I499" s="19">
        <v>4.2999999999999997E-2</v>
      </c>
      <c r="J499" s="19">
        <v>4.1000000000000002E-2</v>
      </c>
      <c r="K499" s="19">
        <v>0.04</v>
      </c>
      <c r="L499" s="19">
        <v>4.1000000000000002E-2</v>
      </c>
      <c r="M499" s="19">
        <v>0.04</v>
      </c>
      <c r="N499" s="19">
        <v>4.1000000000000002E-2</v>
      </c>
      <c r="O499" s="18">
        <v>570</v>
      </c>
    </row>
    <row r="500" spans="2:15" x14ac:dyDescent="0.2">
      <c r="B500" s="134"/>
      <c r="C500" s="27">
        <v>1.2569999999999999</v>
      </c>
      <c r="D500" s="27">
        <v>1.1579999999999999</v>
      </c>
      <c r="E500" s="27">
        <v>1.339</v>
      </c>
      <c r="F500" s="27">
        <v>1.2250000000000001</v>
      </c>
      <c r="G500" s="27">
        <v>1.462</v>
      </c>
      <c r="H500" s="27">
        <v>1.244</v>
      </c>
      <c r="I500" s="27">
        <v>1.29</v>
      </c>
      <c r="J500" s="27">
        <v>1.288</v>
      </c>
      <c r="K500" s="27">
        <v>1.4259999999999999</v>
      </c>
      <c r="L500" s="27">
        <v>1.1930000000000001</v>
      </c>
      <c r="M500" s="27">
        <v>1.3480000000000001</v>
      </c>
      <c r="N500" s="27">
        <v>1.339</v>
      </c>
      <c r="O500" s="18" t="s">
        <v>41</v>
      </c>
    </row>
    <row r="501" spans="2:15" x14ac:dyDescent="0.2">
      <c r="B501" s="132" t="s">
        <v>1</v>
      </c>
      <c r="C501" s="16">
        <v>4.7E-2</v>
      </c>
      <c r="D501" s="65">
        <v>0.06</v>
      </c>
      <c r="E501" s="28">
        <v>5.1999999999999998E-2</v>
      </c>
      <c r="F501" s="14">
        <v>4.9000000000000002E-2</v>
      </c>
      <c r="G501" s="15">
        <v>0.05</v>
      </c>
      <c r="H501" s="34">
        <v>5.7000000000000002E-2</v>
      </c>
      <c r="I501" s="33">
        <v>5.5E-2</v>
      </c>
      <c r="J501" s="15">
        <v>0.05</v>
      </c>
      <c r="K501" s="33">
        <v>5.6000000000000001E-2</v>
      </c>
      <c r="L501" s="28">
        <v>5.2999999999999999E-2</v>
      </c>
      <c r="M501" s="14">
        <v>0.05</v>
      </c>
      <c r="N501" s="14">
        <v>4.9000000000000002E-2</v>
      </c>
      <c r="O501" s="18" t="s">
        <v>38</v>
      </c>
    </row>
    <row r="502" spans="2:15" x14ac:dyDescent="0.2">
      <c r="B502" s="133"/>
      <c r="C502" s="19">
        <v>4.2000000000000003E-2</v>
      </c>
      <c r="D502" s="31">
        <v>5.5E-2</v>
      </c>
      <c r="E502" s="26">
        <v>4.7E-2</v>
      </c>
      <c r="F502" s="21">
        <v>4.2999999999999997E-2</v>
      </c>
      <c r="G502" s="21">
        <v>4.3999999999999997E-2</v>
      </c>
      <c r="H502" s="23">
        <v>5.1999999999999998E-2</v>
      </c>
      <c r="I502" s="25">
        <v>4.9000000000000002E-2</v>
      </c>
      <c r="J502" s="21">
        <v>4.3999999999999997E-2</v>
      </c>
      <c r="K502" s="25">
        <v>4.9000000000000002E-2</v>
      </c>
      <c r="L502" s="26">
        <v>4.8000000000000001E-2</v>
      </c>
      <c r="M502" s="21">
        <v>4.2999999999999997E-2</v>
      </c>
      <c r="N502" s="19">
        <v>4.2999999999999997E-2</v>
      </c>
      <c r="O502" s="18" t="s">
        <v>39</v>
      </c>
    </row>
    <row r="503" spans="2:15" x14ac:dyDescent="0.2">
      <c r="B503" s="133"/>
      <c r="C503" s="22">
        <v>2.8000000000000001E-2</v>
      </c>
      <c r="D503" s="22">
        <v>2.8000000000000001E-2</v>
      </c>
      <c r="E503" s="24">
        <v>2.5999999999999999E-2</v>
      </c>
      <c r="F503" s="22">
        <v>2.9000000000000001E-2</v>
      </c>
      <c r="G503" s="36">
        <v>3.2000000000000001E-2</v>
      </c>
      <c r="H503" s="39">
        <v>3.1E-2</v>
      </c>
      <c r="I503" s="32">
        <v>3.3000000000000002E-2</v>
      </c>
      <c r="J503" s="30">
        <v>3.5999999999999997E-2</v>
      </c>
      <c r="K503" s="37">
        <v>3.6999999999999998E-2</v>
      </c>
      <c r="L503" s="22">
        <v>2.8000000000000001E-2</v>
      </c>
      <c r="M503" s="30">
        <v>3.5999999999999997E-2</v>
      </c>
      <c r="N503" s="36">
        <v>3.2000000000000001E-2</v>
      </c>
      <c r="O503" s="18" t="s">
        <v>40</v>
      </c>
    </row>
    <row r="504" spans="2:15" x14ac:dyDescent="0.2">
      <c r="B504" s="133"/>
      <c r="C504" s="19">
        <v>4.1000000000000002E-2</v>
      </c>
      <c r="D504" s="30">
        <v>1.629</v>
      </c>
      <c r="E504" s="23">
        <v>0.72899999999999998</v>
      </c>
      <c r="F504" s="19">
        <v>0.108</v>
      </c>
      <c r="G504" s="23">
        <v>0.70599999999999996</v>
      </c>
      <c r="H504" s="32">
        <v>1.5189999999999999</v>
      </c>
      <c r="I504" s="26">
        <v>0.46400000000000002</v>
      </c>
      <c r="J504" s="19">
        <v>4.8000000000000001E-2</v>
      </c>
      <c r="K504" s="25">
        <v>0.61</v>
      </c>
      <c r="L504" s="36">
        <v>1.4139999999999999</v>
      </c>
      <c r="M504" s="19">
        <v>0.14199999999999999</v>
      </c>
      <c r="N504" s="19">
        <v>0.04</v>
      </c>
      <c r="O504" s="18">
        <v>570</v>
      </c>
    </row>
    <row r="505" spans="2:15" x14ac:dyDescent="0.2">
      <c r="B505" s="134"/>
      <c r="C505" s="27">
        <v>1.4330000000000001</v>
      </c>
      <c r="D505" s="27">
        <v>57.475999999999999</v>
      </c>
      <c r="E505" s="27">
        <v>28.507000000000001</v>
      </c>
      <c r="F505" s="27">
        <v>3.6709999999999998</v>
      </c>
      <c r="G505" s="27">
        <v>21.895</v>
      </c>
      <c r="H505" s="27">
        <v>49.709000000000003</v>
      </c>
      <c r="I505" s="27">
        <v>13.92</v>
      </c>
      <c r="J505" s="27">
        <v>1.361</v>
      </c>
      <c r="K505" s="27">
        <v>16.645</v>
      </c>
      <c r="L505" s="27">
        <v>49.912999999999997</v>
      </c>
      <c r="M505" s="27">
        <v>3.9820000000000002</v>
      </c>
      <c r="N505" s="27">
        <v>1.2729999999999999</v>
      </c>
      <c r="O505" s="18" t="s">
        <v>41</v>
      </c>
    </row>
    <row r="506" spans="2:15" x14ac:dyDescent="0.2">
      <c r="B506" s="132" t="s">
        <v>3</v>
      </c>
      <c r="C506" s="15">
        <v>5.0999999999999997E-2</v>
      </c>
      <c r="D506" s="29">
        <v>5.3999999999999999E-2</v>
      </c>
      <c r="E506" s="28">
        <v>5.2999999999999999E-2</v>
      </c>
      <c r="F506" s="29">
        <v>5.3999999999999999E-2</v>
      </c>
      <c r="G506" s="15">
        <v>5.0999999999999997E-2</v>
      </c>
      <c r="H506" s="29">
        <v>5.2999999999999999E-2</v>
      </c>
      <c r="I506" s="29">
        <v>5.3999999999999999E-2</v>
      </c>
      <c r="J506" s="14">
        <v>4.9000000000000002E-2</v>
      </c>
      <c r="K506" s="65">
        <v>6.0999999999999999E-2</v>
      </c>
      <c r="L506" s="14">
        <v>4.9000000000000002E-2</v>
      </c>
      <c r="M506" s="65">
        <v>0.06</v>
      </c>
      <c r="N506" s="14">
        <v>0.05</v>
      </c>
      <c r="O506" s="18" t="s">
        <v>38</v>
      </c>
    </row>
    <row r="507" spans="2:15" x14ac:dyDescent="0.2">
      <c r="B507" s="133"/>
      <c r="C507" s="21">
        <v>4.4999999999999998E-2</v>
      </c>
      <c r="D507" s="25">
        <v>4.9000000000000002E-2</v>
      </c>
      <c r="E507" s="20">
        <v>4.7E-2</v>
      </c>
      <c r="F507" s="23">
        <v>5.1999999999999998E-2</v>
      </c>
      <c r="G507" s="20">
        <v>4.5999999999999999E-2</v>
      </c>
      <c r="H507" s="26">
        <v>4.8000000000000001E-2</v>
      </c>
      <c r="I507" s="26">
        <v>4.8000000000000001E-2</v>
      </c>
      <c r="J507" s="21">
        <v>4.2999999999999997E-2</v>
      </c>
      <c r="K507" s="22">
        <v>5.6000000000000001E-2</v>
      </c>
      <c r="L507" s="21">
        <v>4.3999999999999997E-2</v>
      </c>
      <c r="M507" s="31">
        <v>5.3999999999999999E-2</v>
      </c>
      <c r="N507" s="21">
        <v>4.3999999999999997E-2</v>
      </c>
      <c r="O507" s="18" t="s">
        <v>39</v>
      </c>
    </row>
    <row r="508" spans="2:15" x14ac:dyDescent="0.2">
      <c r="B508" s="133"/>
      <c r="C508" s="36">
        <v>3.2000000000000001E-2</v>
      </c>
      <c r="D508" s="22">
        <v>2.9000000000000001E-2</v>
      </c>
      <c r="E508" s="32">
        <v>3.4000000000000002E-2</v>
      </c>
      <c r="F508" s="19">
        <v>1.4E-2</v>
      </c>
      <c r="G508" s="22">
        <v>2.9000000000000001E-2</v>
      </c>
      <c r="H508" s="36">
        <v>3.2000000000000001E-2</v>
      </c>
      <c r="I508" s="30">
        <v>3.5000000000000003E-2</v>
      </c>
      <c r="J508" s="39">
        <v>0.03</v>
      </c>
      <c r="K508" s="39">
        <v>0.03</v>
      </c>
      <c r="L508" s="31">
        <v>2.7E-2</v>
      </c>
      <c r="M508" s="30">
        <v>3.5000000000000003E-2</v>
      </c>
      <c r="N508" s="39">
        <v>3.1E-2</v>
      </c>
      <c r="O508" s="18" t="s">
        <v>40</v>
      </c>
    </row>
    <row r="509" spans="2:15" x14ac:dyDescent="0.2">
      <c r="B509" s="133"/>
      <c r="C509" s="19">
        <v>4.2000000000000003E-2</v>
      </c>
      <c r="D509" s="21">
        <v>0.19600000000000001</v>
      </c>
      <c r="E509" s="23">
        <v>0.75600000000000001</v>
      </c>
      <c r="F509" s="21">
        <v>0.21299999999999999</v>
      </c>
      <c r="G509" s="24">
        <v>0.91700000000000004</v>
      </c>
      <c r="H509" s="20">
        <v>0.33300000000000002</v>
      </c>
      <c r="I509" s="25">
        <v>0.59099999999999997</v>
      </c>
      <c r="J509" s="19">
        <v>8.8999999999999996E-2</v>
      </c>
      <c r="K509" s="26">
        <v>0.51400000000000001</v>
      </c>
      <c r="L509" s="19">
        <v>0.155</v>
      </c>
      <c r="M509" s="25">
        <v>0.55300000000000005</v>
      </c>
      <c r="N509" s="19">
        <v>4.2000000000000003E-2</v>
      </c>
      <c r="O509" s="18">
        <v>570</v>
      </c>
    </row>
    <row r="510" spans="2:15" x14ac:dyDescent="0.2">
      <c r="B510" s="134"/>
      <c r="C510" s="27">
        <v>1.329</v>
      </c>
      <c r="D510" s="27">
        <v>6.7919999999999998</v>
      </c>
      <c r="E510" s="27">
        <v>22.323</v>
      </c>
      <c r="F510" s="27">
        <v>14.753</v>
      </c>
      <c r="G510" s="27">
        <v>31.143000000000001</v>
      </c>
      <c r="H510" s="27">
        <v>10.513</v>
      </c>
      <c r="I510" s="27">
        <v>16.888999999999999</v>
      </c>
      <c r="J510" s="27">
        <v>2.9769999999999999</v>
      </c>
      <c r="K510" s="27">
        <v>17.12</v>
      </c>
      <c r="L510" s="27">
        <v>5.8280000000000003</v>
      </c>
      <c r="M510" s="27">
        <v>15.811</v>
      </c>
      <c r="N510" s="27">
        <v>1.3779999999999999</v>
      </c>
      <c r="O510" s="18" t="s">
        <v>41</v>
      </c>
    </row>
    <row r="511" spans="2:15" x14ac:dyDescent="0.2">
      <c r="B511" s="132" t="s">
        <v>5</v>
      </c>
      <c r="C511" s="15">
        <v>0.05</v>
      </c>
      <c r="D511" s="65">
        <v>0.06</v>
      </c>
      <c r="E511" s="35">
        <v>6.3E-2</v>
      </c>
      <c r="F511" s="17">
        <v>6.2E-2</v>
      </c>
      <c r="G511" s="34">
        <v>5.8000000000000003E-2</v>
      </c>
      <c r="H511" s="33">
        <v>5.6000000000000001E-2</v>
      </c>
      <c r="I511" s="29">
        <v>5.3999999999999999E-2</v>
      </c>
      <c r="J511" s="14">
        <v>0.05</v>
      </c>
      <c r="K511" s="17">
        <v>6.2E-2</v>
      </c>
      <c r="L511" s="65">
        <v>0.06</v>
      </c>
      <c r="M511" s="68">
        <v>6.5000000000000002E-2</v>
      </c>
      <c r="N511" s="28">
        <v>5.1999999999999998E-2</v>
      </c>
      <c r="O511" s="18" t="s">
        <v>38</v>
      </c>
    </row>
    <row r="512" spans="2:15" x14ac:dyDescent="0.2">
      <c r="B512" s="133"/>
      <c r="C512" s="21">
        <v>4.3999999999999997E-2</v>
      </c>
      <c r="D512" s="31">
        <v>5.5E-2</v>
      </c>
      <c r="E512" s="36">
        <v>5.8999999999999997E-2</v>
      </c>
      <c r="F512" s="39">
        <v>5.7000000000000002E-2</v>
      </c>
      <c r="G512" s="24">
        <v>5.1999999999999998E-2</v>
      </c>
      <c r="H512" s="23">
        <v>5.0999999999999997E-2</v>
      </c>
      <c r="I512" s="25">
        <v>4.9000000000000002E-2</v>
      </c>
      <c r="J512" s="21">
        <v>4.3999999999999997E-2</v>
      </c>
      <c r="K512" s="39">
        <v>5.8000000000000003E-2</v>
      </c>
      <c r="L512" s="22">
        <v>5.6000000000000001E-2</v>
      </c>
      <c r="M512" s="32">
        <v>6.0999999999999999E-2</v>
      </c>
      <c r="N512" s="26">
        <v>4.7E-2</v>
      </c>
      <c r="O512" s="18" t="s">
        <v>39</v>
      </c>
    </row>
    <row r="513" spans="2:15" x14ac:dyDescent="0.2">
      <c r="B513" s="133"/>
      <c r="C513" s="36">
        <v>3.2000000000000001E-2</v>
      </c>
      <c r="D513" s="31">
        <v>2.7E-2</v>
      </c>
      <c r="E513" s="25">
        <v>2.1999999999999999E-2</v>
      </c>
      <c r="F513" s="24">
        <v>2.4E-2</v>
      </c>
      <c r="G513" s="39">
        <v>3.1E-2</v>
      </c>
      <c r="H513" s="31">
        <v>2.8000000000000001E-2</v>
      </c>
      <c r="I513" s="22">
        <v>2.8000000000000001E-2</v>
      </c>
      <c r="J513" s="36">
        <v>3.1E-2</v>
      </c>
      <c r="K513" s="26">
        <v>2.1000000000000001E-2</v>
      </c>
      <c r="L513" s="31">
        <v>2.7E-2</v>
      </c>
      <c r="M513" s="31">
        <v>2.7E-2</v>
      </c>
      <c r="N513" s="36">
        <v>3.2000000000000001E-2</v>
      </c>
      <c r="O513" s="18" t="s">
        <v>40</v>
      </c>
    </row>
    <row r="514" spans="2:15" x14ac:dyDescent="0.2">
      <c r="B514" s="133"/>
      <c r="C514" s="19">
        <v>4.1000000000000002E-2</v>
      </c>
      <c r="D514" s="30">
        <v>1.6060000000000001</v>
      </c>
      <c r="E514" s="23">
        <v>0.76700000000000002</v>
      </c>
      <c r="F514" s="22">
        <v>1.0669999999999999</v>
      </c>
      <c r="G514" s="25">
        <v>0.61499999999999999</v>
      </c>
      <c r="H514" s="30">
        <v>1.647</v>
      </c>
      <c r="I514" s="39">
        <v>1.2649999999999999</v>
      </c>
      <c r="J514" s="21">
        <v>0.192</v>
      </c>
      <c r="K514" s="22">
        <v>1.1140000000000001</v>
      </c>
      <c r="L514" s="30">
        <v>1.599</v>
      </c>
      <c r="M514" s="26">
        <v>0.43099999999999999</v>
      </c>
      <c r="N514" s="19">
        <v>4.3999999999999997E-2</v>
      </c>
      <c r="O514" s="18">
        <v>570</v>
      </c>
    </row>
    <row r="515" spans="2:15" x14ac:dyDescent="0.2">
      <c r="B515" s="134"/>
      <c r="C515" s="27">
        <v>1.298</v>
      </c>
      <c r="D515" s="27">
        <v>60.235999999999997</v>
      </c>
      <c r="E515" s="27">
        <v>35.4</v>
      </c>
      <c r="F515" s="27">
        <v>43.67</v>
      </c>
      <c r="G515" s="27">
        <v>20.134</v>
      </c>
      <c r="H515" s="27">
        <v>59.280999999999999</v>
      </c>
      <c r="I515" s="27">
        <v>44.658000000000001</v>
      </c>
      <c r="J515" s="27">
        <v>6.181</v>
      </c>
      <c r="K515" s="27">
        <v>54.19</v>
      </c>
      <c r="L515" s="27">
        <v>58.72</v>
      </c>
      <c r="M515" s="27">
        <v>16.178000000000001</v>
      </c>
      <c r="N515" s="27">
        <v>1.3959999999999999</v>
      </c>
      <c r="O515" s="18" t="s">
        <v>41</v>
      </c>
    </row>
    <row r="516" spans="2:15" x14ac:dyDescent="0.2">
      <c r="B516" s="132" t="s">
        <v>6</v>
      </c>
      <c r="C516" s="14">
        <v>0.05</v>
      </c>
      <c r="D516" s="15">
        <v>0.05</v>
      </c>
      <c r="E516" s="64">
        <v>5.8000000000000003E-2</v>
      </c>
      <c r="F516" s="33">
        <v>5.5E-2</v>
      </c>
      <c r="G516" s="38">
        <v>6.9000000000000006E-2</v>
      </c>
      <c r="H516" s="14">
        <v>0.05</v>
      </c>
      <c r="I516" s="15">
        <v>5.0999999999999997E-2</v>
      </c>
      <c r="J516" s="29">
        <v>5.3999999999999999E-2</v>
      </c>
      <c r="K516" s="35">
        <v>6.4000000000000001E-2</v>
      </c>
      <c r="L516" s="15">
        <v>5.0999999999999997E-2</v>
      </c>
      <c r="M516" s="15">
        <v>5.0999999999999997E-2</v>
      </c>
      <c r="N516" s="15">
        <v>0.05</v>
      </c>
      <c r="O516" s="18" t="s">
        <v>38</v>
      </c>
    </row>
    <row r="517" spans="2:15" x14ac:dyDescent="0.2">
      <c r="B517" s="133"/>
      <c r="C517" s="21">
        <v>4.4999999999999998E-2</v>
      </c>
      <c r="D517" s="21">
        <v>4.3999999999999997E-2</v>
      </c>
      <c r="E517" s="24">
        <v>5.2999999999999999E-2</v>
      </c>
      <c r="F517" s="23">
        <v>5.0999999999999997E-2</v>
      </c>
      <c r="G517" s="37">
        <v>6.6000000000000003E-2</v>
      </c>
      <c r="H517" s="21">
        <v>4.3999999999999997E-2</v>
      </c>
      <c r="I517" s="20">
        <v>4.5999999999999999E-2</v>
      </c>
      <c r="J517" s="26">
        <v>4.8000000000000001E-2</v>
      </c>
      <c r="K517" s="39">
        <v>5.8000000000000003E-2</v>
      </c>
      <c r="L517" s="21">
        <v>4.4999999999999998E-2</v>
      </c>
      <c r="M517" s="21">
        <v>4.4999999999999998E-2</v>
      </c>
      <c r="N517" s="21">
        <v>4.3999999999999997E-2</v>
      </c>
      <c r="O517" s="18" t="s">
        <v>39</v>
      </c>
    </row>
    <row r="518" spans="2:15" x14ac:dyDescent="0.2">
      <c r="B518" s="133"/>
      <c r="C518" s="22">
        <v>2.9000000000000001E-2</v>
      </c>
      <c r="D518" s="32">
        <v>3.4000000000000002E-2</v>
      </c>
      <c r="E518" s="24">
        <v>2.5999999999999999E-2</v>
      </c>
      <c r="F518" s="24">
        <v>2.5999999999999999E-2</v>
      </c>
      <c r="G518" s="20">
        <v>1.7999999999999999E-2</v>
      </c>
      <c r="H518" s="39">
        <v>3.1E-2</v>
      </c>
      <c r="I518" s="36">
        <v>3.1E-2</v>
      </c>
      <c r="J518" s="32">
        <v>3.3000000000000002E-2</v>
      </c>
      <c r="K518" s="32">
        <v>3.3000000000000002E-2</v>
      </c>
      <c r="L518" s="32">
        <v>3.4000000000000002E-2</v>
      </c>
      <c r="M518" s="30">
        <v>3.5999999999999997E-2</v>
      </c>
      <c r="N518" s="32">
        <v>3.4000000000000002E-2</v>
      </c>
      <c r="O518" s="18" t="s">
        <v>40</v>
      </c>
    </row>
    <row r="519" spans="2:15" x14ac:dyDescent="0.2">
      <c r="B519" s="133"/>
      <c r="C519" s="19">
        <v>4.2999999999999997E-2</v>
      </c>
      <c r="D519" s="19">
        <v>0.14299999999999999</v>
      </c>
      <c r="E519" s="24">
        <v>0.80700000000000005</v>
      </c>
      <c r="F519" s="39">
        <v>1.181</v>
      </c>
      <c r="G519" s="24">
        <v>0.81100000000000005</v>
      </c>
      <c r="H519" s="19">
        <v>0.15</v>
      </c>
      <c r="I519" s="39">
        <v>1.294</v>
      </c>
      <c r="J519" s="21">
        <v>0.188</v>
      </c>
      <c r="K519" s="22">
        <v>1.056</v>
      </c>
      <c r="L519" s="21">
        <v>0.251</v>
      </c>
      <c r="M519" s="21">
        <v>0.25</v>
      </c>
      <c r="N519" s="19">
        <v>4.1000000000000002E-2</v>
      </c>
      <c r="O519" s="18">
        <v>570</v>
      </c>
    </row>
    <row r="520" spans="2:15" x14ac:dyDescent="0.2">
      <c r="B520" s="134"/>
      <c r="C520" s="27">
        <v>1.4750000000000001</v>
      </c>
      <c r="D520" s="27">
        <v>4.2110000000000003</v>
      </c>
      <c r="E520" s="27">
        <v>30.890999999999998</v>
      </c>
      <c r="F520" s="27">
        <v>46.192999999999998</v>
      </c>
      <c r="G520" s="27">
        <v>45.636000000000003</v>
      </c>
      <c r="H520" s="27">
        <v>4.9029999999999996</v>
      </c>
      <c r="I520" s="27">
        <v>41.58</v>
      </c>
      <c r="J520" s="27">
        <v>5.625</v>
      </c>
      <c r="K520" s="27">
        <v>31.670999999999999</v>
      </c>
      <c r="L520" s="27">
        <v>7.2930000000000001</v>
      </c>
      <c r="M520" s="27">
        <v>7.0309999999999997</v>
      </c>
      <c r="N520" s="27">
        <v>1.204</v>
      </c>
      <c r="O520" s="18" t="s">
        <v>41</v>
      </c>
    </row>
    <row r="521" spans="2:15" x14ac:dyDescent="0.2">
      <c r="B521" s="132" t="s">
        <v>7</v>
      </c>
      <c r="C521" s="16">
        <v>4.8000000000000001E-2</v>
      </c>
      <c r="D521" s="17">
        <v>6.2E-2</v>
      </c>
      <c r="E521" s="33">
        <v>5.6000000000000001E-2</v>
      </c>
      <c r="F521" s="17">
        <v>6.0999999999999999E-2</v>
      </c>
      <c r="G521" s="65">
        <v>6.0999999999999999E-2</v>
      </c>
      <c r="H521" s="17">
        <v>6.2E-2</v>
      </c>
      <c r="I521" s="35">
        <v>6.4000000000000001E-2</v>
      </c>
      <c r="J521" s="28">
        <v>5.2999999999999999E-2</v>
      </c>
      <c r="K521" s="29">
        <v>5.2999999999999999E-2</v>
      </c>
      <c r="L521" s="38">
        <v>6.9000000000000006E-2</v>
      </c>
      <c r="M521" s="34">
        <v>5.6000000000000001E-2</v>
      </c>
      <c r="N521" s="15">
        <v>0.05</v>
      </c>
      <c r="O521" s="18" t="s">
        <v>38</v>
      </c>
    </row>
    <row r="522" spans="2:15" x14ac:dyDescent="0.2">
      <c r="B522" s="133"/>
      <c r="C522" s="19">
        <v>4.2000000000000003E-2</v>
      </c>
      <c r="D522" s="39">
        <v>5.7000000000000002E-2</v>
      </c>
      <c r="E522" s="23">
        <v>5.0999999999999997E-2</v>
      </c>
      <c r="F522" s="39">
        <v>5.8000000000000003E-2</v>
      </c>
      <c r="G522" s="39">
        <v>5.8000000000000003E-2</v>
      </c>
      <c r="H522" s="22">
        <v>5.7000000000000002E-2</v>
      </c>
      <c r="I522" s="36">
        <v>5.8999999999999997E-2</v>
      </c>
      <c r="J522" s="26">
        <v>4.7E-2</v>
      </c>
      <c r="K522" s="26">
        <v>4.8000000000000001E-2</v>
      </c>
      <c r="L522" s="30">
        <v>6.4000000000000001E-2</v>
      </c>
      <c r="M522" s="25">
        <v>0.05</v>
      </c>
      <c r="N522" s="21">
        <v>4.3999999999999997E-2</v>
      </c>
      <c r="O522" s="18" t="s">
        <v>39</v>
      </c>
    </row>
    <row r="523" spans="2:15" x14ac:dyDescent="0.2">
      <c r="B523" s="133"/>
      <c r="C523" s="39">
        <v>0.03</v>
      </c>
      <c r="D523" s="24">
        <v>2.5999999999999999E-2</v>
      </c>
      <c r="E523" s="31">
        <v>2.5999999999999999E-2</v>
      </c>
      <c r="F523" s="20">
        <v>1.7999999999999999E-2</v>
      </c>
      <c r="G523" s="20">
        <v>1.7999999999999999E-2</v>
      </c>
      <c r="H523" s="22">
        <v>2.9000000000000001E-2</v>
      </c>
      <c r="I523" s="24">
        <v>2.4E-2</v>
      </c>
      <c r="J523" s="39">
        <v>3.1E-2</v>
      </c>
      <c r="K523" s="39">
        <v>2.9000000000000001E-2</v>
      </c>
      <c r="L523" s="22">
        <v>2.9000000000000001E-2</v>
      </c>
      <c r="M523" s="30">
        <v>3.4000000000000002E-2</v>
      </c>
      <c r="N523" s="32">
        <v>3.3000000000000002E-2</v>
      </c>
      <c r="O523" s="18" t="s">
        <v>40</v>
      </c>
    </row>
    <row r="524" spans="2:15" x14ac:dyDescent="0.2">
      <c r="B524" s="133"/>
      <c r="C524" s="19">
        <v>4.1000000000000002E-2</v>
      </c>
      <c r="D524" s="30">
        <v>1.6259999999999999</v>
      </c>
      <c r="E524" s="21">
        <v>0.22700000000000001</v>
      </c>
      <c r="F524" s="39">
        <v>1.2509999999999999</v>
      </c>
      <c r="G524" s="23">
        <v>0.67400000000000004</v>
      </c>
      <c r="H524" s="37">
        <v>1.782</v>
      </c>
      <c r="I524" s="36">
        <v>1.369</v>
      </c>
      <c r="J524" s="20">
        <v>0.40600000000000003</v>
      </c>
      <c r="K524" s="22">
        <v>1.167</v>
      </c>
      <c r="L524" s="37">
        <v>1.8109999999999999</v>
      </c>
      <c r="M524" s="22">
        <v>1.1539999999999999</v>
      </c>
      <c r="N524" s="19">
        <v>4.1000000000000002E-2</v>
      </c>
      <c r="O524" s="18">
        <v>570</v>
      </c>
    </row>
    <row r="525" spans="2:15" x14ac:dyDescent="0.2">
      <c r="B525" s="134"/>
      <c r="C525" s="27">
        <v>1.367</v>
      </c>
      <c r="D525" s="27">
        <v>63.637999999999998</v>
      </c>
      <c r="E525" s="27">
        <v>8.6969999999999992</v>
      </c>
      <c r="F525" s="27">
        <v>70.363</v>
      </c>
      <c r="G525" s="27">
        <v>36.78</v>
      </c>
      <c r="H525" s="27">
        <v>60.517000000000003</v>
      </c>
      <c r="I525" s="27">
        <v>55.991999999999997</v>
      </c>
      <c r="J525" s="27">
        <v>13.297000000000001</v>
      </c>
      <c r="K525" s="27">
        <v>39.616999999999997</v>
      </c>
      <c r="L525" s="27">
        <v>61.515999999999998</v>
      </c>
      <c r="M525" s="27">
        <v>33.506</v>
      </c>
      <c r="N525" s="27">
        <v>1.2509999999999999</v>
      </c>
      <c r="O525" s="18" t="s">
        <v>41</v>
      </c>
    </row>
    <row r="526" spans="2:15" x14ac:dyDescent="0.2">
      <c r="B526" s="132" t="s">
        <v>8</v>
      </c>
      <c r="C526" s="16">
        <v>4.8000000000000001E-2</v>
      </c>
      <c r="D526" s="16">
        <v>4.8000000000000001E-2</v>
      </c>
      <c r="E526" s="16">
        <v>4.7E-2</v>
      </c>
      <c r="F526" s="34">
        <v>5.7000000000000002E-2</v>
      </c>
      <c r="G526" s="28">
        <v>5.1999999999999998E-2</v>
      </c>
      <c r="H526" s="15">
        <v>5.0999999999999997E-2</v>
      </c>
      <c r="I526" s="38">
        <v>6.8000000000000005E-2</v>
      </c>
      <c r="J526" s="68">
        <v>6.5000000000000002E-2</v>
      </c>
      <c r="K526" s="65">
        <v>0.06</v>
      </c>
      <c r="L526" s="15">
        <v>0.05</v>
      </c>
      <c r="M526" s="34">
        <v>5.7000000000000002E-2</v>
      </c>
      <c r="N526" s="16">
        <v>4.8000000000000001E-2</v>
      </c>
      <c r="O526" s="18" t="s">
        <v>38</v>
      </c>
    </row>
    <row r="527" spans="2:15" x14ac:dyDescent="0.2">
      <c r="B527" s="133"/>
      <c r="C527" s="19">
        <v>4.2999999999999997E-2</v>
      </c>
      <c r="D527" s="19">
        <v>4.2000000000000003E-2</v>
      </c>
      <c r="E527" s="19">
        <v>4.2000000000000003E-2</v>
      </c>
      <c r="F527" s="24">
        <v>5.1999999999999998E-2</v>
      </c>
      <c r="G527" s="21">
        <v>4.4999999999999998E-2</v>
      </c>
      <c r="H527" s="21">
        <v>4.3999999999999997E-2</v>
      </c>
      <c r="I527" s="30">
        <v>6.4000000000000001E-2</v>
      </c>
      <c r="J527" s="36">
        <v>0.06</v>
      </c>
      <c r="K527" s="22">
        <v>5.6000000000000001E-2</v>
      </c>
      <c r="L527" s="21">
        <v>4.3999999999999997E-2</v>
      </c>
      <c r="M527" s="24">
        <v>5.1999999999999998E-2</v>
      </c>
      <c r="N527" s="19">
        <v>4.2000000000000003E-2</v>
      </c>
      <c r="O527" s="18" t="s">
        <v>39</v>
      </c>
    </row>
    <row r="528" spans="2:15" x14ac:dyDescent="0.2">
      <c r="B528" s="133"/>
      <c r="C528" s="22">
        <v>2.9000000000000001E-2</v>
      </c>
      <c r="D528" s="32">
        <v>3.3000000000000002E-2</v>
      </c>
      <c r="E528" s="39">
        <v>3.1E-2</v>
      </c>
      <c r="F528" s="22">
        <v>2.8000000000000001E-2</v>
      </c>
      <c r="G528" s="37">
        <v>3.7999999999999999E-2</v>
      </c>
      <c r="H528" s="37">
        <v>3.6999999999999998E-2</v>
      </c>
      <c r="I528" s="23">
        <v>2.4E-2</v>
      </c>
      <c r="J528" s="23">
        <v>2.4E-2</v>
      </c>
      <c r="K528" s="23">
        <v>2.4E-2</v>
      </c>
      <c r="L528" s="39">
        <v>0.03</v>
      </c>
      <c r="M528" s="22">
        <v>2.8000000000000001E-2</v>
      </c>
      <c r="N528" s="39">
        <v>0.03</v>
      </c>
      <c r="O528" s="18" t="s">
        <v>40</v>
      </c>
    </row>
    <row r="529" spans="2:15" x14ac:dyDescent="0.2">
      <c r="B529" s="133"/>
      <c r="C529" s="19">
        <v>0.04</v>
      </c>
      <c r="D529" s="19">
        <v>0.127</v>
      </c>
      <c r="E529" s="19">
        <v>5.8000000000000003E-2</v>
      </c>
      <c r="F529" s="36">
        <v>1.391</v>
      </c>
      <c r="G529" s="21">
        <v>0.252</v>
      </c>
      <c r="H529" s="21">
        <v>0.20200000000000001</v>
      </c>
      <c r="I529" s="36">
        <v>1.343</v>
      </c>
      <c r="J529" s="24">
        <v>0.89300000000000002</v>
      </c>
      <c r="K529" s="22">
        <v>1.097</v>
      </c>
      <c r="L529" s="21">
        <v>0.254</v>
      </c>
      <c r="M529" s="39">
        <v>1.222</v>
      </c>
      <c r="N529" s="19">
        <v>0.04</v>
      </c>
      <c r="O529" s="18">
        <v>570</v>
      </c>
    </row>
    <row r="530" spans="2:15" x14ac:dyDescent="0.2">
      <c r="B530" s="134"/>
      <c r="C530" s="27">
        <v>1.395</v>
      </c>
      <c r="D530" s="27">
        <v>3.887</v>
      </c>
      <c r="E530" s="27">
        <v>1.8979999999999999</v>
      </c>
      <c r="F530" s="27">
        <v>49.094000000000001</v>
      </c>
      <c r="G530" s="27">
        <v>6.66</v>
      </c>
      <c r="H530" s="27">
        <v>5.4160000000000004</v>
      </c>
      <c r="I530" s="27">
        <v>54.924999999999997</v>
      </c>
      <c r="J530" s="27">
        <v>37.393999999999998</v>
      </c>
      <c r="K530" s="27">
        <v>45.912999999999997</v>
      </c>
      <c r="L530" s="27">
        <v>8.4570000000000007</v>
      </c>
      <c r="M530" s="27">
        <v>43.119</v>
      </c>
      <c r="N530" s="27">
        <v>1.343</v>
      </c>
      <c r="O530" s="18" t="s">
        <v>41</v>
      </c>
    </row>
    <row r="531" spans="2:15" x14ac:dyDescent="0.2">
      <c r="B531" s="132" t="s">
        <v>9</v>
      </c>
      <c r="C531" s="16">
        <v>4.7E-2</v>
      </c>
      <c r="D531" s="14">
        <v>4.9000000000000002E-2</v>
      </c>
      <c r="E531" s="16">
        <v>4.8000000000000001E-2</v>
      </c>
      <c r="F531" s="14">
        <v>4.8000000000000001E-2</v>
      </c>
      <c r="G531" s="16">
        <v>4.8000000000000001E-2</v>
      </c>
      <c r="H531" s="28">
        <v>5.1999999999999998E-2</v>
      </c>
      <c r="I531" s="14">
        <v>4.9000000000000002E-2</v>
      </c>
      <c r="J531" s="14">
        <v>4.9000000000000002E-2</v>
      </c>
      <c r="K531" s="15">
        <v>5.0999999999999997E-2</v>
      </c>
      <c r="L531" s="15">
        <v>5.0999999999999997E-2</v>
      </c>
      <c r="M531" s="15">
        <v>5.0999999999999997E-2</v>
      </c>
      <c r="N531" s="33">
        <v>5.5E-2</v>
      </c>
      <c r="O531" s="18" t="s">
        <v>38</v>
      </c>
    </row>
    <row r="532" spans="2:15" x14ac:dyDescent="0.2">
      <c r="B532" s="133"/>
      <c r="C532" s="19">
        <v>4.2000000000000003E-2</v>
      </c>
      <c r="D532" s="19">
        <v>4.2999999999999997E-2</v>
      </c>
      <c r="E532" s="19">
        <v>4.2000000000000003E-2</v>
      </c>
      <c r="F532" s="19">
        <v>4.2999999999999997E-2</v>
      </c>
      <c r="G532" s="19">
        <v>4.2000000000000003E-2</v>
      </c>
      <c r="H532" s="20">
        <v>4.5999999999999999E-2</v>
      </c>
      <c r="I532" s="21">
        <v>4.2999999999999997E-2</v>
      </c>
      <c r="J532" s="21">
        <v>4.3999999999999997E-2</v>
      </c>
      <c r="K532" s="21">
        <v>4.3999999999999997E-2</v>
      </c>
      <c r="L532" s="20">
        <v>4.4999999999999998E-2</v>
      </c>
      <c r="M532" s="21">
        <v>4.3999999999999997E-2</v>
      </c>
      <c r="N532" s="25">
        <v>4.9000000000000002E-2</v>
      </c>
      <c r="O532" s="18" t="s">
        <v>39</v>
      </c>
    </row>
    <row r="533" spans="2:15" x14ac:dyDescent="0.2">
      <c r="B533" s="133"/>
      <c r="C533" s="22">
        <v>2.9000000000000001E-2</v>
      </c>
      <c r="D533" s="36">
        <v>3.3000000000000002E-2</v>
      </c>
      <c r="E533" s="30">
        <v>3.5999999999999997E-2</v>
      </c>
      <c r="F533" s="22">
        <v>2.9000000000000001E-2</v>
      </c>
      <c r="G533" s="32">
        <v>3.3000000000000002E-2</v>
      </c>
      <c r="H533" s="32">
        <v>3.3000000000000002E-2</v>
      </c>
      <c r="I533" s="36">
        <v>3.2000000000000001E-2</v>
      </c>
      <c r="J533" s="39">
        <v>3.1E-2</v>
      </c>
      <c r="K533" s="37">
        <v>3.6999999999999998E-2</v>
      </c>
      <c r="L533" s="22">
        <v>2.9000000000000001E-2</v>
      </c>
      <c r="M533" s="30">
        <v>3.5999999999999997E-2</v>
      </c>
      <c r="N533" s="32">
        <v>3.3000000000000002E-2</v>
      </c>
      <c r="O533" s="18" t="s">
        <v>40</v>
      </c>
    </row>
    <row r="534" spans="2:15" x14ac:dyDescent="0.2">
      <c r="B534" s="133"/>
      <c r="C534" s="19">
        <v>4.1000000000000002E-2</v>
      </c>
      <c r="D534" s="19">
        <v>0.04</v>
      </c>
      <c r="E534" s="19">
        <v>4.1000000000000002E-2</v>
      </c>
      <c r="F534" s="19">
        <v>0.04</v>
      </c>
      <c r="G534" s="19">
        <v>4.1000000000000002E-2</v>
      </c>
      <c r="H534" s="19">
        <v>4.3999999999999997E-2</v>
      </c>
      <c r="I534" s="19">
        <v>4.1000000000000002E-2</v>
      </c>
      <c r="J534" s="19">
        <v>4.2000000000000003E-2</v>
      </c>
      <c r="K534" s="19">
        <v>4.2000000000000003E-2</v>
      </c>
      <c r="L534" s="19">
        <v>4.2999999999999997E-2</v>
      </c>
      <c r="M534" s="19">
        <v>4.1000000000000002E-2</v>
      </c>
      <c r="N534" s="19">
        <v>4.5999999999999999E-2</v>
      </c>
      <c r="O534" s="18">
        <v>570</v>
      </c>
    </row>
    <row r="535" spans="2:15" x14ac:dyDescent="0.2">
      <c r="B535" s="134"/>
      <c r="C535" s="27">
        <v>1.405</v>
      </c>
      <c r="D535" s="27">
        <v>1.2230000000000001</v>
      </c>
      <c r="E535" s="27">
        <v>1.1559999999999999</v>
      </c>
      <c r="F535" s="27">
        <v>1.3580000000000001</v>
      </c>
      <c r="G535" s="27">
        <v>1.2450000000000001</v>
      </c>
      <c r="H535" s="27">
        <v>1.3420000000000001</v>
      </c>
      <c r="I535" s="27">
        <v>1.2569999999999999</v>
      </c>
      <c r="J535" s="27">
        <v>1.3580000000000001</v>
      </c>
      <c r="K535" s="27">
        <v>1.137</v>
      </c>
      <c r="L535" s="27">
        <v>1.4770000000000001</v>
      </c>
      <c r="M535" s="27">
        <v>1.135</v>
      </c>
      <c r="N535" s="27">
        <v>1.4159999999999999</v>
      </c>
      <c r="O535" s="18" t="s">
        <v>41</v>
      </c>
    </row>
  </sheetData>
  <mergeCells count="64">
    <mergeCell ref="B27:B31"/>
    <mergeCell ref="B32:B36"/>
    <mergeCell ref="B37:B41"/>
    <mergeCell ref="B42:B46"/>
    <mergeCell ref="B47:B51"/>
    <mergeCell ref="B52:B56"/>
    <mergeCell ref="B57:B61"/>
    <mergeCell ref="B62:B66"/>
    <mergeCell ref="B161:B165"/>
    <mergeCell ref="B166:B170"/>
    <mergeCell ref="B196:B200"/>
    <mergeCell ref="B94:B98"/>
    <mergeCell ref="B99:B103"/>
    <mergeCell ref="B104:B108"/>
    <mergeCell ref="B109:B113"/>
    <mergeCell ref="B114:B118"/>
    <mergeCell ref="B119:B123"/>
    <mergeCell ref="B124:B128"/>
    <mergeCell ref="B129:B133"/>
    <mergeCell ref="B171:B175"/>
    <mergeCell ref="B176:B180"/>
    <mergeCell ref="B181:B185"/>
    <mergeCell ref="B186:B190"/>
    <mergeCell ref="B191:B195"/>
    <mergeCell ref="B253:B257"/>
    <mergeCell ref="B258:B262"/>
    <mergeCell ref="B263:B267"/>
    <mergeCell ref="B228:B232"/>
    <mergeCell ref="B233:B237"/>
    <mergeCell ref="B238:B242"/>
    <mergeCell ref="B243:B247"/>
    <mergeCell ref="B248:B252"/>
    <mergeCell ref="B387:B391"/>
    <mergeCell ref="B392:B396"/>
    <mergeCell ref="B397:B401"/>
    <mergeCell ref="B295:B299"/>
    <mergeCell ref="B300:B304"/>
    <mergeCell ref="B305:B309"/>
    <mergeCell ref="B310:B314"/>
    <mergeCell ref="B315:B319"/>
    <mergeCell ref="B320:B324"/>
    <mergeCell ref="B325:B329"/>
    <mergeCell ref="B330:B334"/>
    <mergeCell ref="B362:B366"/>
    <mergeCell ref="B367:B371"/>
    <mergeCell ref="B372:B376"/>
    <mergeCell ref="B377:B381"/>
    <mergeCell ref="B382:B386"/>
    <mergeCell ref="B521:B525"/>
    <mergeCell ref="B526:B530"/>
    <mergeCell ref="B531:B535"/>
    <mergeCell ref="B429:B433"/>
    <mergeCell ref="B434:B438"/>
    <mergeCell ref="B439:B443"/>
    <mergeCell ref="B444:B448"/>
    <mergeCell ref="B449:B453"/>
    <mergeCell ref="B454:B458"/>
    <mergeCell ref="B459:B463"/>
    <mergeCell ref="B464:B468"/>
    <mergeCell ref="B496:B500"/>
    <mergeCell ref="B501:B505"/>
    <mergeCell ref="B506:B510"/>
    <mergeCell ref="B511:B515"/>
    <mergeCell ref="B516:B5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4ED5-0699-C146-9AEA-3A25B003AD19}">
  <dimension ref="B2:N11"/>
  <sheetViews>
    <sheetView zoomScale="75" workbookViewId="0">
      <selection activeCell="F36" sqref="F36"/>
    </sheetView>
  </sheetViews>
  <sheetFormatPr baseColWidth="10" defaultRowHeight="16" x14ac:dyDescent="0.2"/>
  <sheetData>
    <row r="2" spans="2:14" x14ac:dyDescent="0.2">
      <c r="C2" s="7" t="s">
        <v>86</v>
      </c>
    </row>
    <row r="3" spans="2:14" x14ac:dyDescent="0.2"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</row>
    <row r="4" spans="2:14" x14ac:dyDescent="0.2">
      <c r="B4" s="1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">
      <c r="B5" s="1" t="s">
        <v>1</v>
      </c>
      <c r="C5" s="2"/>
      <c r="D5" s="3" t="s">
        <v>2</v>
      </c>
      <c r="E5" s="4">
        <v>47</v>
      </c>
      <c r="F5" s="4">
        <v>53</v>
      </c>
      <c r="G5" s="4">
        <v>59</v>
      </c>
      <c r="H5" s="3" t="s">
        <v>2</v>
      </c>
      <c r="I5" s="4">
        <v>65</v>
      </c>
      <c r="J5" s="4">
        <v>71</v>
      </c>
      <c r="K5" s="4">
        <v>77</v>
      </c>
      <c r="L5" s="3" t="s">
        <v>2</v>
      </c>
      <c r="M5" s="4">
        <v>83</v>
      </c>
      <c r="N5" s="5"/>
    </row>
    <row r="6" spans="2:14" x14ac:dyDescent="0.2">
      <c r="B6" s="1" t="s">
        <v>3</v>
      </c>
      <c r="C6" s="2"/>
      <c r="D6" s="6" t="s">
        <v>4</v>
      </c>
      <c r="E6" s="4">
        <v>48</v>
      </c>
      <c r="F6" s="4">
        <v>54</v>
      </c>
      <c r="G6" s="4">
        <v>60</v>
      </c>
      <c r="H6" s="6" t="s">
        <v>4</v>
      </c>
      <c r="I6" s="4">
        <v>66</v>
      </c>
      <c r="J6" s="4">
        <v>72</v>
      </c>
      <c r="K6" s="4">
        <v>78</v>
      </c>
      <c r="L6" s="6" t="s">
        <v>4</v>
      </c>
      <c r="M6" s="4">
        <v>84</v>
      </c>
      <c r="N6" s="5"/>
    </row>
    <row r="7" spans="2:14" x14ac:dyDescent="0.2">
      <c r="B7" s="1" t="s">
        <v>5</v>
      </c>
      <c r="C7" s="2"/>
      <c r="D7" s="3" t="s">
        <v>2</v>
      </c>
      <c r="E7" s="4">
        <v>49</v>
      </c>
      <c r="F7" s="4">
        <v>55</v>
      </c>
      <c r="G7" s="4">
        <v>61</v>
      </c>
      <c r="H7" s="3" t="s">
        <v>2</v>
      </c>
      <c r="I7" s="4">
        <v>67</v>
      </c>
      <c r="J7" s="4">
        <v>73</v>
      </c>
      <c r="K7" s="4">
        <v>79</v>
      </c>
      <c r="L7" s="3" t="s">
        <v>2</v>
      </c>
      <c r="M7" s="4">
        <v>85</v>
      </c>
      <c r="N7" s="5"/>
    </row>
    <row r="8" spans="2:14" x14ac:dyDescent="0.2">
      <c r="B8" s="1" t="s">
        <v>6</v>
      </c>
      <c r="C8" s="2"/>
      <c r="D8" s="6" t="s">
        <v>4</v>
      </c>
      <c r="E8" s="4">
        <v>50</v>
      </c>
      <c r="F8" s="4">
        <v>56</v>
      </c>
      <c r="G8" s="4">
        <v>62</v>
      </c>
      <c r="H8" s="6" t="s">
        <v>4</v>
      </c>
      <c r="I8" s="4">
        <v>68</v>
      </c>
      <c r="J8" s="4">
        <v>74</v>
      </c>
      <c r="K8" s="4">
        <v>80</v>
      </c>
      <c r="L8" s="6" t="s">
        <v>4</v>
      </c>
      <c r="M8" s="4">
        <v>86</v>
      </c>
      <c r="N8" s="5"/>
    </row>
    <row r="9" spans="2:14" x14ac:dyDescent="0.2">
      <c r="B9" s="1" t="s">
        <v>7</v>
      </c>
      <c r="C9" s="2"/>
      <c r="D9" s="3" t="s">
        <v>2</v>
      </c>
      <c r="E9" s="4">
        <v>51</v>
      </c>
      <c r="F9" s="4">
        <v>57</v>
      </c>
      <c r="G9" s="4">
        <v>63</v>
      </c>
      <c r="H9" s="3" t="s">
        <v>2</v>
      </c>
      <c r="I9" s="4">
        <v>69</v>
      </c>
      <c r="J9" s="4">
        <v>75</v>
      </c>
      <c r="K9" s="4">
        <v>81</v>
      </c>
      <c r="L9" s="3" t="s">
        <v>2</v>
      </c>
      <c r="M9" s="4">
        <v>87</v>
      </c>
      <c r="N9" s="5"/>
    </row>
    <row r="10" spans="2:14" x14ac:dyDescent="0.2">
      <c r="B10" s="1" t="s">
        <v>8</v>
      </c>
      <c r="C10" s="2"/>
      <c r="D10" s="6" t="s">
        <v>4</v>
      </c>
      <c r="E10" s="4">
        <v>52</v>
      </c>
      <c r="F10" s="4">
        <v>58</v>
      </c>
      <c r="G10" s="4">
        <v>64</v>
      </c>
      <c r="H10" s="6" t="s">
        <v>4</v>
      </c>
      <c r="I10" s="4">
        <v>70</v>
      </c>
      <c r="J10" s="4">
        <v>76</v>
      </c>
      <c r="K10" s="4">
        <v>82</v>
      </c>
      <c r="L10" s="6" t="s">
        <v>4</v>
      </c>
      <c r="M10" s="4">
        <v>88</v>
      </c>
      <c r="N10" s="5"/>
    </row>
    <row r="11" spans="2:14" x14ac:dyDescent="0.2">
      <c r="B11" s="1" t="s">
        <v>9</v>
      </c>
      <c r="C11" s="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A5CE-55EE-B44A-9E67-AA943EAEBF36}">
  <dimension ref="B2:AL483"/>
  <sheetViews>
    <sheetView zoomScale="110" workbookViewId="0">
      <selection activeCell="G504" sqref="G504"/>
    </sheetView>
  </sheetViews>
  <sheetFormatPr baseColWidth="10" defaultRowHeight="16" x14ac:dyDescent="0.2"/>
  <sheetData>
    <row r="2" spans="2:38" x14ac:dyDescent="0.2">
      <c r="B2" s="7" t="s">
        <v>86</v>
      </c>
      <c r="C2" s="40">
        <v>45385</v>
      </c>
      <c r="D2" s="7" t="s">
        <v>68</v>
      </c>
      <c r="E2" s="41"/>
    </row>
    <row r="3" spans="2:38" x14ac:dyDescent="0.2">
      <c r="B3" s="42"/>
      <c r="C3" s="42">
        <v>1</v>
      </c>
      <c r="D3" s="42">
        <v>2</v>
      </c>
      <c r="E3" s="42">
        <v>3</v>
      </c>
      <c r="F3" s="42">
        <v>4</v>
      </c>
      <c r="G3" s="42">
        <v>5</v>
      </c>
      <c r="H3" s="42">
        <v>6</v>
      </c>
      <c r="I3" s="42">
        <v>7</v>
      </c>
      <c r="J3" s="42">
        <v>8</v>
      </c>
      <c r="K3" s="42">
        <v>9</v>
      </c>
      <c r="L3" s="42">
        <v>10</v>
      </c>
      <c r="M3" s="42">
        <v>11</v>
      </c>
      <c r="N3" s="42">
        <v>12</v>
      </c>
      <c r="Q3" s="1">
        <v>1</v>
      </c>
      <c r="R3" s="1">
        <v>2</v>
      </c>
      <c r="S3" s="1">
        <v>3</v>
      </c>
      <c r="T3" s="1">
        <v>4</v>
      </c>
      <c r="U3" s="1">
        <v>5</v>
      </c>
      <c r="V3" s="1">
        <v>6</v>
      </c>
      <c r="W3" s="1">
        <v>7</v>
      </c>
      <c r="X3" s="1">
        <v>8</v>
      </c>
      <c r="Y3" s="1">
        <v>9</v>
      </c>
      <c r="Z3" s="1">
        <v>10</v>
      </c>
      <c r="AA3" s="1">
        <v>11</v>
      </c>
      <c r="AB3" s="1">
        <v>12</v>
      </c>
    </row>
    <row r="4" spans="2:38" x14ac:dyDescent="0.2">
      <c r="B4" s="43" t="s">
        <v>0</v>
      </c>
      <c r="C4" s="44">
        <v>4.2000000000000003E-2</v>
      </c>
      <c r="D4" s="44">
        <v>4.3999999999999997E-2</v>
      </c>
      <c r="E4" s="44">
        <v>4.3999999999999997E-2</v>
      </c>
      <c r="F4" s="44">
        <v>4.2999999999999997E-2</v>
      </c>
      <c r="G4" s="44">
        <v>4.3999999999999997E-2</v>
      </c>
      <c r="H4" s="44">
        <v>4.2999999999999997E-2</v>
      </c>
      <c r="I4" s="44">
        <v>4.2000000000000003E-2</v>
      </c>
      <c r="J4" s="44">
        <v>4.2999999999999997E-2</v>
      </c>
      <c r="K4" s="44">
        <v>4.2000000000000003E-2</v>
      </c>
      <c r="L4" s="44">
        <v>4.3999999999999997E-2</v>
      </c>
      <c r="M4" s="44">
        <v>4.2999999999999997E-2</v>
      </c>
      <c r="N4" s="44">
        <v>4.2000000000000003E-2</v>
      </c>
      <c r="O4" s="18">
        <v>570</v>
      </c>
      <c r="P4" s="1" t="s">
        <v>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8" x14ac:dyDescent="0.2">
      <c r="B5" s="43" t="s">
        <v>1</v>
      </c>
      <c r="C5" s="44">
        <v>4.2999999999999997E-2</v>
      </c>
      <c r="D5" s="49">
        <v>1.0720000000000001</v>
      </c>
      <c r="E5" s="51">
        <v>0.41399999999999998</v>
      </c>
      <c r="F5" s="44">
        <v>5.8999999999999997E-2</v>
      </c>
      <c r="G5" s="52">
        <v>0.53200000000000003</v>
      </c>
      <c r="H5" s="45">
        <v>1.115</v>
      </c>
      <c r="I5" s="50">
        <v>0.35599999999999998</v>
      </c>
      <c r="J5" s="44">
        <v>7.1999999999999995E-2</v>
      </c>
      <c r="K5" s="50">
        <v>0.36599999999999999</v>
      </c>
      <c r="L5" s="49">
        <v>1.0580000000000001</v>
      </c>
      <c r="M5" s="44">
        <v>0.122</v>
      </c>
      <c r="N5" s="44">
        <v>4.2000000000000003E-2</v>
      </c>
      <c r="O5" s="18">
        <v>570</v>
      </c>
      <c r="P5" s="1" t="s">
        <v>1</v>
      </c>
      <c r="Q5" s="2"/>
      <c r="R5" s="3" t="s">
        <v>2</v>
      </c>
      <c r="S5" s="4">
        <v>47</v>
      </c>
      <c r="T5" s="4">
        <v>53</v>
      </c>
      <c r="U5" s="4">
        <v>59</v>
      </c>
      <c r="V5" s="3" t="s">
        <v>2</v>
      </c>
      <c r="W5" s="4">
        <v>65</v>
      </c>
      <c r="X5" s="4">
        <v>71</v>
      </c>
      <c r="Y5" s="4">
        <v>77</v>
      </c>
      <c r="Z5" s="3" t="s">
        <v>2</v>
      </c>
      <c r="AA5" s="4">
        <v>83</v>
      </c>
      <c r="AB5" s="5"/>
    </row>
    <row r="6" spans="2:38" x14ac:dyDescent="0.2">
      <c r="B6" s="43" t="s">
        <v>3</v>
      </c>
      <c r="C6" s="44">
        <v>4.2999999999999997E-2</v>
      </c>
      <c r="D6" s="44">
        <v>8.8999999999999996E-2</v>
      </c>
      <c r="E6" s="50">
        <v>0.32</v>
      </c>
      <c r="F6" s="47">
        <v>0.151</v>
      </c>
      <c r="G6" s="53">
        <v>0.629</v>
      </c>
      <c r="H6" s="44">
        <v>8.4000000000000005E-2</v>
      </c>
      <c r="I6" s="50">
        <v>0.38500000000000001</v>
      </c>
      <c r="J6" s="44">
        <v>8.5000000000000006E-2</v>
      </c>
      <c r="K6" s="48">
        <v>0.26600000000000001</v>
      </c>
      <c r="L6" s="44">
        <v>7.5999999999999998E-2</v>
      </c>
      <c r="M6" s="47">
        <v>0.189</v>
      </c>
      <c r="N6" s="44">
        <v>4.2999999999999997E-2</v>
      </c>
      <c r="O6" s="18">
        <v>570</v>
      </c>
      <c r="P6" s="1" t="s">
        <v>3</v>
      </c>
      <c r="Q6" s="2"/>
      <c r="R6" s="6" t="s">
        <v>4</v>
      </c>
      <c r="S6" s="4">
        <v>48</v>
      </c>
      <c r="T6" s="4">
        <v>54</v>
      </c>
      <c r="U6" s="4">
        <v>60</v>
      </c>
      <c r="V6" s="6" t="s">
        <v>4</v>
      </c>
      <c r="W6" s="4">
        <v>66</v>
      </c>
      <c r="X6" s="4">
        <v>72</v>
      </c>
      <c r="Y6" s="4">
        <v>78</v>
      </c>
      <c r="Z6" s="6" t="s">
        <v>4</v>
      </c>
      <c r="AA6" s="4">
        <v>84</v>
      </c>
      <c r="AB6" s="5"/>
    </row>
    <row r="7" spans="2:38" x14ac:dyDescent="0.2">
      <c r="B7" s="43" t="s">
        <v>5</v>
      </c>
      <c r="C7" s="44">
        <v>4.2999999999999997E-2</v>
      </c>
      <c r="D7" s="45">
        <v>1.159</v>
      </c>
      <c r="E7" s="53">
        <v>0.64600000000000002</v>
      </c>
      <c r="F7" s="46">
        <v>0.70499999999999996</v>
      </c>
      <c r="G7" s="50">
        <v>0.38300000000000001</v>
      </c>
      <c r="H7" s="45">
        <v>1.1919999999999999</v>
      </c>
      <c r="I7" s="55">
        <v>0.89500000000000002</v>
      </c>
      <c r="J7" s="44">
        <v>6.5000000000000002E-2</v>
      </c>
      <c r="K7" s="52">
        <v>0.56699999999999995</v>
      </c>
      <c r="L7" s="45">
        <v>1.151</v>
      </c>
      <c r="M7" s="48">
        <v>0.28699999999999998</v>
      </c>
      <c r="N7" s="44">
        <v>4.2999999999999997E-2</v>
      </c>
      <c r="O7" s="18">
        <v>570</v>
      </c>
      <c r="P7" s="1" t="s">
        <v>5</v>
      </c>
      <c r="Q7" s="2"/>
      <c r="R7" s="3" t="s">
        <v>2</v>
      </c>
      <c r="S7" s="4">
        <v>49</v>
      </c>
      <c r="T7" s="4">
        <v>55</v>
      </c>
      <c r="U7" s="4">
        <v>61</v>
      </c>
      <c r="V7" s="3" t="s">
        <v>2</v>
      </c>
      <c r="W7" s="4">
        <v>67</v>
      </c>
      <c r="X7" s="4">
        <v>73</v>
      </c>
      <c r="Y7" s="4">
        <v>79</v>
      </c>
      <c r="Z7" s="3" t="s">
        <v>2</v>
      </c>
      <c r="AA7" s="4">
        <v>85</v>
      </c>
      <c r="AB7" s="5"/>
    </row>
    <row r="8" spans="2:38" x14ac:dyDescent="0.2">
      <c r="B8" s="43" t="s">
        <v>6</v>
      </c>
      <c r="C8" s="44">
        <v>4.2000000000000003E-2</v>
      </c>
      <c r="D8" s="44">
        <v>0.10199999999999999</v>
      </c>
      <c r="E8" s="53">
        <v>0.57799999999999996</v>
      </c>
      <c r="F8" s="56">
        <v>0.76900000000000002</v>
      </c>
      <c r="G8" s="53">
        <v>0.59899999999999998</v>
      </c>
      <c r="H8" s="44">
        <v>6.0999999999999999E-2</v>
      </c>
      <c r="I8" s="67">
        <v>1.004</v>
      </c>
      <c r="J8" s="44">
        <v>6.7000000000000004E-2</v>
      </c>
      <c r="K8" s="53">
        <v>0.66200000000000003</v>
      </c>
      <c r="L8" s="44">
        <v>5.0999999999999997E-2</v>
      </c>
      <c r="M8" s="50">
        <v>0.39600000000000002</v>
      </c>
      <c r="N8" s="44">
        <v>4.2000000000000003E-2</v>
      </c>
      <c r="O8" s="18">
        <v>570</v>
      </c>
      <c r="P8" s="1" t="s">
        <v>6</v>
      </c>
      <c r="Q8" s="2"/>
      <c r="R8" s="6" t="s">
        <v>4</v>
      </c>
      <c r="S8" s="4">
        <v>50</v>
      </c>
      <c r="T8" s="4">
        <v>56</v>
      </c>
      <c r="U8" s="4">
        <v>62</v>
      </c>
      <c r="V8" s="6" t="s">
        <v>4</v>
      </c>
      <c r="W8" s="4">
        <v>68</v>
      </c>
      <c r="X8" s="4">
        <v>74</v>
      </c>
      <c r="Y8" s="4">
        <v>80</v>
      </c>
      <c r="Z8" s="6" t="s">
        <v>4</v>
      </c>
      <c r="AA8" s="4">
        <v>86</v>
      </c>
      <c r="AB8" s="5"/>
    </row>
    <row r="9" spans="2:38" x14ac:dyDescent="0.2">
      <c r="B9" s="43" t="s">
        <v>7</v>
      </c>
      <c r="C9" s="44">
        <v>4.2999999999999997E-2</v>
      </c>
      <c r="D9" s="45">
        <v>1.1299999999999999</v>
      </c>
      <c r="E9" s="44">
        <v>0.09</v>
      </c>
      <c r="F9" s="53">
        <v>0.61</v>
      </c>
      <c r="G9" s="51">
        <v>0.40699999999999997</v>
      </c>
      <c r="H9" s="54">
        <v>1.2909999999999999</v>
      </c>
      <c r="I9" s="67">
        <v>0.93700000000000006</v>
      </c>
      <c r="J9" s="50">
        <v>0.32500000000000001</v>
      </c>
      <c r="K9" s="46">
        <v>0.68100000000000005</v>
      </c>
      <c r="L9" s="45">
        <v>1.155</v>
      </c>
      <c r="M9" s="46">
        <v>0.73099999999999998</v>
      </c>
      <c r="N9" s="44">
        <v>4.4999999999999998E-2</v>
      </c>
      <c r="O9" s="18">
        <v>570</v>
      </c>
      <c r="P9" s="1" t="s">
        <v>7</v>
      </c>
      <c r="Q9" s="2"/>
      <c r="R9" s="3" t="s">
        <v>2</v>
      </c>
      <c r="S9" s="4">
        <v>51</v>
      </c>
      <c r="T9" s="4">
        <v>57</v>
      </c>
      <c r="U9" s="4">
        <v>63</v>
      </c>
      <c r="V9" s="3" t="s">
        <v>2</v>
      </c>
      <c r="W9" s="4">
        <v>69</v>
      </c>
      <c r="X9" s="4">
        <v>75</v>
      </c>
      <c r="Y9" s="4">
        <v>81</v>
      </c>
      <c r="Z9" s="3" t="s">
        <v>2</v>
      </c>
      <c r="AA9" s="4">
        <v>87</v>
      </c>
      <c r="AB9" s="5"/>
    </row>
    <row r="10" spans="2:38" x14ac:dyDescent="0.2">
      <c r="B10" s="43" t="s">
        <v>8</v>
      </c>
      <c r="C10" s="44">
        <v>4.2000000000000003E-2</v>
      </c>
      <c r="D10" s="44">
        <v>9.4E-2</v>
      </c>
      <c r="E10" s="44">
        <v>0.106</v>
      </c>
      <c r="F10" s="67">
        <v>0.94699999999999995</v>
      </c>
      <c r="G10" s="51">
        <v>0.46700000000000003</v>
      </c>
      <c r="H10" s="44">
        <v>9.9000000000000005E-2</v>
      </c>
      <c r="I10" s="49">
        <v>1.0289999999999999</v>
      </c>
      <c r="J10" s="52">
        <v>0.50700000000000001</v>
      </c>
      <c r="K10" s="46">
        <v>0.71699999999999997</v>
      </c>
      <c r="L10" s="44">
        <v>6.9000000000000006E-2</v>
      </c>
      <c r="M10" s="56">
        <v>0.75700000000000001</v>
      </c>
      <c r="N10" s="44">
        <v>4.2000000000000003E-2</v>
      </c>
      <c r="O10" s="18">
        <v>570</v>
      </c>
      <c r="P10" s="1" t="s">
        <v>8</v>
      </c>
      <c r="Q10" s="2"/>
      <c r="R10" s="6" t="s">
        <v>4</v>
      </c>
      <c r="S10" s="4">
        <v>52</v>
      </c>
      <c r="T10" s="4">
        <v>58</v>
      </c>
      <c r="U10" s="4">
        <v>64</v>
      </c>
      <c r="V10" s="6" t="s">
        <v>4</v>
      </c>
      <c r="W10" s="4">
        <v>70</v>
      </c>
      <c r="X10" s="4">
        <v>76</v>
      </c>
      <c r="Y10" s="4">
        <v>82</v>
      </c>
      <c r="Z10" s="6" t="s">
        <v>4</v>
      </c>
      <c r="AA10" s="4">
        <v>88</v>
      </c>
      <c r="AB10" s="5"/>
    </row>
    <row r="11" spans="2:38" x14ac:dyDescent="0.2">
      <c r="B11" s="43" t="s">
        <v>9</v>
      </c>
      <c r="C11" s="44">
        <v>4.2000000000000003E-2</v>
      </c>
      <c r="D11" s="44">
        <v>4.2000000000000003E-2</v>
      </c>
      <c r="E11" s="44">
        <v>4.2999999999999997E-2</v>
      </c>
      <c r="F11" s="44">
        <v>4.2999999999999997E-2</v>
      </c>
      <c r="G11" s="44">
        <v>4.2999999999999997E-2</v>
      </c>
      <c r="H11" s="44">
        <v>4.2999999999999997E-2</v>
      </c>
      <c r="I11" s="44">
        <v>4.3999999999999997E-2</v>
      </c>
      <c r="J11" s="44">
        <v>4.2000000000000003E-2</v>
      </c>
      <c r="K11" s="44">
        <v>4.2999999999999997E-2</v>
      </c>
      <c r="L11" s="44">
        <v>4.2999999999999997E-2</v>
      </c>
      <c r="M11" s="44">
        <v>4.2999999999999997E-2</v>
      </c>
      <c r="N11" s="44">
        <v>4.2999999999999997E-2</v>
      </c>
      <c r="O11" s="18">
        <v>570</v>
      </c>
      <c r="P11" s="1" t="s">
        <v>9</v>
      </c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3" spans="2:38" x14ac:dyDescent="0.2">
      <c r="B13" s="57" t="s">
        <v>42</v>
      </c>
      <c r="P13" s="57" t="s">
        <v>43</v>
      </c>
    </row>
    <row r="14" spans="2:38" x14ac:dyDescent="0.2">
      <c r="C14" s="58" t="s">
        <v>44</v>
      </c>
      <c r="D14">
        <f>AVERAGE(D11:N11,N4:N10,D4:M4,C4:C11)</f>
        <v>4.2861111111111114E-2</v>
      </c>
      <c r="AE14" t="s">
        <v>45</v>
      </c>
      <c r="AH14" t="s">
        <v>46</v>
      </c>
    </row>
    <row r="15" spans="2:38" x14ac:dyDescent="0.2">
      <c r="C15" s="58" t="s">
        <v>47</v>
      </c>
      <c r="D15">
        <f>D5</f>
        <v>1.0720000000000001</v>
      </c>
      <c r="E15">
        <f>D7</f>
        <v>1.159</v>
      </c>
      <c r="F15">
        <f>D9</f>
        <v>1.1299999999999999</v>
      </c>
      <c r="G15">
        <f>H5</f>
        <v>1.115</v>
      </c>
      <c r="H15">
        <f>H7</f>
        <v>1.1919999999999999</v>
      </c>
      <c r="I15">
        <f>H9</f>
        <v>1.2909999999999999</v>
      </c>
      <c r="J15">
        <f>L5</f>
        <v>1.0580000000000001</v>
      </c>
      <c r="K15">
        <f>L7</f>
        <v>1.151</v>
      </c>
      <c r="L15">
        <f>L9</f>
        <v>1.155</v>
      </c>
      <c r="Q15" s="58" t="s">
        <v>47</v>
      </c>
      <c r="R15">
        <f>D15-$D$14</f>
        <v>1.029138888888889</v>
      </c>
      <c r="S15">
        <f>E15-$D$14</f>
        <v>1.116138888888889</v>
      </c>
      <c r="T15">
        <f t="shared" ref="T15:Z15" si="0">F15-$D$14</f>
        <v>1.0871388888888889</v>
      </c>
      <c r="U15">
        <f t="shared" si="0"/>
        <v>1.072138888888889</v>
      </c>
      <c r="V15">
        <f t="shared" si="0"/>
        <v>1.1491388888888889</v>
      </c>
      <c r="W15">
        <f t="shared" si="0"/>
        <v>1.2481388888888889</v>
      </c>
      <c r="X15">
        <f t="shared" si="0"/>
        <v>1.015138888888889</v>
      </c>
      <c r="Y15">
        <f t="shared" si="0"/>
        <v>1.108138888888889</v>
      </c>
      <c r="Z15">
        <f t="shared" si="0"/>
        <v>1.112138888888889</v>
      </c>
      <c r="AE15" t="s">
        <v>48</v>
      </c>
      <c r="AF15">
        <f>AVERAGE(R15:Z15)</f>
        <v>1.104138888888889</v>
      </c>
      <c r="AH15" t="s">
        <v>48</v>
      </c>
      <c r="AI15">
        <f>AVERAGE(R17:Z17)</f>
        <v>3.769444444444444E-2</v>
      </c>
      <c r="AK15" s="59" t="s">
        <v>49</v>
      </c>
      <c r="AL15" s="59">
        <f>1- ((3*(AF16+AI16))/(AF15-AI15))</f>
        <v>0.75704803183715597</v>
      </c>
    </row>
    <row r="16" spans="2:38" x14ac:dyDescent="0.2">
      <c r="C16" s="58"/>
      <c r="G16" s="60"/>
      <c r="Q16" s="58"/>
      <c r="AE16" t="s">
        <v>50</v>
      </c>
      <c r="AF16">
        <f>STDEV(R15:Z15)</f>
        <v>6.8778630402182309E-2</v>
      </c>
      <c r="AH16" t="s">
        <v>50</v>
      </c>
      <c r="AI16">
        <f>STDEV(R17:Z17)</f>
        <v>1.7586295169187225E-2</v>
      </c>
      <c r="AK16" s="59"/>
      <c r="AL16" s="59"/>
    </row>
    <row r="17" spans="3:32" x14ac:dyDescent="0.2">
      <c r="C17" s="58" t="s">
        <v>4</v>
      </c>
      <c r="D17">
        <f>D6</f>
        <v>8.8999999999999996E-2</v>
      </c>
      <c r="E17">
        <f>D8</f>
        <v>0.10199999999999999</v>
      </c>
      <c r="F17">
        <f>D10</f>
        <v>9.4E-2</v>
      </c>
      <c r="G17">
        <f>H6</f>
        <v>8.4000000000000005E-2</v>
      </c>
      <c r="H17">
        <f>H8</f>
        <v>6.0999999999999999E-2</v>
      </c>
      <c r="I17">
        <f>H10</f>
        <v>9.9000000000000005E-2</v>
      </c>
      <c r="J17">
        <f>L6</f>
        <v>7.5999999999999998E-2</v>
      </c>
      <c r="K17">
        <f>L8</f>
        <v>5.0999999999999997E-2</v>
      </c>
      <c r="L17">
        <f>L10</f>
        <v>6.9000000000000006E-2</v>
      </c>
      <c r="Q17" s="58" t="s">
        <v>4</v>
      </c>
      <c r="R17">
        <f>D17-$D$14</f>
        <v>4.6138888888888882E-2</v>
      </c>
      <c r="S17">
        <f>E17-$D$14</f>
        <v>5.913888888888888E-2</v>
      </c>
      <c r="T17">
        <f t="shared" ref="T17:Z17" si="1">F17-$D$14</f>
        <v>5.1138888888888887E-2</v>
      </c>
      <c r="U17">
        <f t="shared" si="1"/>
        <v>4.1138888888888892E-2</v>
      </c>
      <c r="V17">
        <f t="shared" si="1"/>
        <v>1.8138888888888885E-2</v>
      </c>
      <c r="W17">
        <f t="shared" si="1"/>
        <v>5.6138888888888891E-2</v>
      </c>
      <c r="X17">
        <f t="shared" si="1"/>
        <v>3.3138888888888884E-2</v>
      </c>
      <c r="Y17">
        <f t="shared" si="1"/>
        <v>8.138888888888883E-3</v>
      </c>
      <c r="Z17">
        <f t="shared" si="1"/>
        <v>2.6138888888888892E-2</v>
      </c>
      <c r="AB17" s="58" t="s">
        <v>51</v>
      </c>
      <c r="AC17" s="58" t="s">
        <v>52</v>
      </c>
      <c r="AD17" s="58"/>
      <c r="AE17" t="s">
        <v>53</v>
      </c>
      <c r="AF17">
        <f>AF16*100/AF15</f>
        <v>6.2291647449711007</v>
      </c>
    </row>
    <row r="18" spans="3:32" x14ac:dyDescent="0.2">
      <c r="C18" s="58"/>
      <c r="D18" s="60"/>
      <c r="Q18" s="58"/>
      <c r="AB18" s="58"/>
      <c r="AC18" s="58"/>
      <c r="AD18" s="58"/>
      <c r="AE18" t="s">
        <v>54</v>
      </c>
      <c r="AF18">
        <f>3*AF16</f>
        <v>0.20633589120654694</v>
      </c>
    </row>
    <row r="19" spans="3:32" x14ac:dyDescent="0.2">
      <c r="C19" s="61">
        <f t="shared" ref="C19:C24" si="2">S5</f>
        <v>47</v>
      </c>
      <c r="D19">
        <f>E5</f>
        <v>0.41399999999999998</v>
      </c>
      <c r="P19" s="60"/>
      <c r="Q19" s="62">
        <f>C19</f>
        <v>47</v>
      </c>
      <c r="R19">
        <f>D19-$D$14</f>
        <v>0.37113888888888885</v>
      </c>
      <c r="S19" s="60"/>
      <c r="Z19" s="60"/>
      <c r="AA19" s="62">
        <f>C19</f>
        <v>47</v>
      </c>
      <c r="AB19">
        <f>R19*100/$AF$15</f>
        <v>33.61342423708772</v>
      </c>
    </row>
    <row r="20" spans="3:32" x14ac:dyDescent="0.2">
      <c r="C20" s="61">
        <f t="shared" si="2"/>
        <v>48</v>
      </c>
      <c r="D20">
        <f t="shared" ref="D20:D24" si="3">E6</f>
        <v>0.32</v>
      </c>
      <c r="P20" s="60"/>
      <c r="Q20" s="62">
        <f t="shared" ref="Q20:Q60" si="4">C20</f>
        <v>48</v>
      </c>
      <c r="R20">
        <f t="shared" ref="R20:R60" si="5">D20-$D$14</f>
        <v>0.27713888888888888</v>
      </c>
      <c r="S20" s="60"/>
      <c r="Z20" s="60"/>
      <c r="AA20" s="62">
        <f t="shared" ref="AA20:AA60" si="6">C20</f>
        <v>48</v>
      </c>
      <c r="AB20">
        <f>R20*100/$AF$15</f>
        <v>25.100002515786557</v>
      </c>
    </row>
    <row r="21" spans="3:32" x14ac:dyDescent="0.2">
      <c r="C21" s="61">
        <f t="shared" si="2"/>
        <v>49</v>
      </c>
      <c r="D21">
        <f t="shared" si="3"/>
        <v>0.64600000000000002</v>
      </c>
      <c r="P21" s="60"/>
      <c r="Q21" s="62">
        <f t="shared" si="4"/>
        <v>49</v>
      </c>
      <c r="R21">
        <f t="shared" si="5"/>
        <v>0.60313888888888889</v>
      </c>
      <c r="S21" s="60"/>
      <c r="Z21" s="60"/>
      <c r="AA21" s="62">
        <f t="shared" si="6"/>
        <v>49</v>
      </c>
      <c r="AB21">
        <f t="shared" ref="AB21:AB60" si="7">R21*100/$AF$15</f>
        <v>54.625273591788471</v>
      </c>
    </row>
    <row r="22" spans="3:32" x14ac:dyDescent="0.2">
      <c r="C22" s="61">
        <f t="shared" si="2"/>
        <v>50</v>
      </c>
      <c r="D22">
        <f>E8</f>
        <v>0.57799999999999996</v>
      </c>
      <c r="P22" s="60"/>
      <c r="Q22" s="62">
        <f>C22</f>
        <v>50</v>
      </c>
      <c r="R22">
        <f>D22-$D$14</f>
        <v>0.53513888888888883</v>
      </c>
      <c r="S22" s="60"/>
      <c r="Z22" s="60"/>
      <c r="AA22" s="62">
        <f t="shared" si="6"/>
        <v>50</v>
      </c>
      <c r="AB22">
        <f>R22*100/$AF$15</f>
        <v>48.466628091272732</v>
      </c>
    </row>
    <row r="23" spans="3:32" x14ac:dyDescent="0.2">
      <c r="C23" s="61">
        <f t="shared" si="2"/>
        <v>51</v>
      </c>
      <c r="D23">
        <f t="shared" si="3"/>
        <v>0.09</v>
      </c>
      <c r="P23" s="60"/>
      <c r="Q23" s="62">
        <f t="shared" si="4"/>
        <v>51</v>
      </c>
      <c r="R23">
        <f>D23-$D$14</f>
        <v>4.7138888888888883E-2</v>
      </c>
      <c r="S23" s="60"/>
      <c r="Z23" s="60"/>
      <c r="AA23" s="62">
        <f t="shared" si="6"/>
        <v>51</v>
      </c>
      <c r="AB23">
        <f t="shared" si="7"/>
        <v>4.2692897934539227</v>
      </c>
    </row>
    <row r="24" spans="3:32" x14ac:dyDescent="0.2">
      <c r="C24" s="61">
        <f t="shared" si="2"/>
        <v>52</v>
      </c>
      <c r="D24">
        <f t="shared" si="3"/>
        <v>0.106</v>
      </c>
      <c r="P24" s="60"/>
      <c r="Q24" s="62">
        <f t="shared" si="4"/>
        <v>52</v>
      </c>
      <c r="R24">
        <f>D24-$D$14</f>
        <v>6.3138888888888883E-2</v>
      </c>
      <c r="S24" s="60"/>
      <c r="Z24" s="60"/>
      <c r="AA24" s="62">
        <f t="shared" si="6"/>
        <v>52</v>
      </c>
      <c r="AB24">
        <f t="shared" si="7"/>
        <v>5.7183828523988014</v>
      </c>
    </row>
    <row r="25" spans="3:32" x14ac:dyDescent="0.2">
      <c r="C25" s="61">
        <f t="shared" ref="C25:C30" si="8">T5</f>
        <v>53</v>
      </c>
      <c r="D25">
        <f t="shared" ref="D25:D30" si="9">F5</f>
        <v>5.8999999999999997E-2</v>
      </c>
      <c r="P25" s="60"/>
      <c r="Q25" s="62">
        <f t="shared" si="4"/>
        <v>53</v>
      </c>
      <c r="R25">
        <f t="shared" si="5"/>
        <v>1.6138888888888883E-2</v>
      </c>
      <c r="S25" s="60"/>
      <c r="Z25" s="60"/>
      <c r="AA25" s="62">
        <f t="shared" si="6"/>
        <v>53</v>
      </c>
      <c r="AB25">
        <f>R25*100/$AF$15</f>
        <v>1.4616719917482193</v>
      </c>
    </row>
    <row r="26" spans="3:32" x14ac:dyDescent="0.2">
      <c r="C26" s="61">
        <f t="shared" si="8"/>
        <v>54</v>
      </c>
      <c r="D26">
        <f t="shared" si="9"/>
        <v>0.151</v>
      </c>
      <c r="P26" s="60"/>
      <c r="Q26" s="62">
        <f t="shared" si="4"/>
        <v>54</v>
      </c>
      <c r="R26">
        <f t="shared" si="5"/>
        <v>0.10813888888888888</v>
      </c>
      <c r="S26" s="60"/>
      <c r="Z26" s="60"/>
      <c r="AA26" s="62">
        <f t="shared" si="6"/>
        <v>54</v>
      </c>
      <c r="AB26">
        <f t="shared" si="7"/>
        <v>9.7939570806812739</v>
      </c>
    </row>
    <row r="27" spans="3:32" x14ac:dyDescent="0.2">
      <c r="C27" s="61">
        <f t="shared" si="8"/>
        <v>55</v>
      </c>
      <c r="D27">
        <f t="shared" si="9"/>
        <v>0.70499999999999996</v>
      </c>
      <c r="P27" s="60"/>
      <c r="Q27" s="62">
        <f t="shared" si="4"/>
        <v>55</v>
      </c>
      <c r="R27">
        <f t="shared" si="5"/>
        <v>0.66213888888888883</v>
      </c>
      <c r="S27" s="60"/>
      <c r="Z27" s="60"/>
      <c r="AA27" s="62">
        <f t="shared" si="6"/>
        <v>55</v>
      </c>
      <c r="AB27">
        <f>R27*100/$AF$15</f>
        <v>59.968804246647707</v>
      </c>
    </row>
    <row r="28" spans="3:32" x14ac:dyDescent="0.2">
      <c r="C28" s="61">
        <f t="shared" si="8"/>
        <v>56</v>
      </c>
      <c r="D28">
        <f t="shared" si="9"/>
        <v>0.76900000000000002</v>
      </c>
      <c r="P28" s="60"/>
      <c r="Q28" s="62">
        <f t="shared" si="4"/>
        <v>56</v>
      </c>
      <c r="R28">
        <f>D28-$D$14</f>
        <v>0.72613888888888889</v>
      </c>
      <c r="S28" s="60"/>
      <c r="Z28" s="60"/>
      <c r="AA28" s="62">
        <f t="shared" si="6"/>
        <v>56</v>
      </c>
      <c r="AB28">
        <f t="shared" si="7"/>
        <v>65.765176482427222</v>
      </c>
    </row>
    <row r="29" spans="3:32" x14ac:dyDescent="0.2">
      <c r="C29" s="61">
        <f t="shared" si="8"/>
        <v>57</v>
      </c>
      <c r="D29">
        <f t="shared" si="9"/>
        <v>0.61</v>
      </c>
      <c r="P29" s="60"/>
      <c r="Q29" s="62">
        <f t="shared" si="4"/>
        <v>57</v>
      </c>
      <c r="R29">
        <f t="shared" si="5"/>
        <v>0.56713888888888886</v>
      </c>
      <c r="S29" s="60"/>
      <c r="Z29" s="60"/>
      <c r="AA29" s="62">
        <f t="shared" si="6"/>
        <v>57</v>
      </c>
      <c r="AB29">
        <f t="shared" si="7"/>
        <v>51.364814209162489</v>
      </c>
    </row>
    <row r="30" spans="3:32" x14ac:dyDescent="0.2">
      <c r="C30" s="61">
        <f t="shared" si="8"/>
        <v>58</v>
      </c>
      <c r="D30">
        <f t="shared" si="9"/>
        <v>0.94699999999999995</v>
      </c>
      <c r="P30" s="60"/>
      <c r="Q30" s="62">
        <f t="shared" si="4"/>
        <v>58</v>
      </c>
      <c r="R30">
        <f t="shared" si="5"/>
        <v>0.90413888888888883</v>
      </c>
      <c r="S30" s="60"/>
      <c r="Z30" s="60"/>
      <c r="AA30" s="62">
        <f t="shared" si="6"/>
        <v>58</v>
      </c>
      <c r="AB30">
        <f t="shared" si="7"/>
        <v>81.886336763188993</v>
      </c>
    </row>
    <row r="31" spans="3:32" x14ac:dyDescent="0.2">
      <c r="C31" s="61">
        <f t="shared" ref="C31:C36" si="10">U5</f>
        <v>59</v>
      </c>
      <c r="D31">
        <f t="shared" ref="D31:D36" si="11">G5</f>
        <v>0.53200000000000003</v>
      </c>
      <c r="P31" s="60"/>
      <c r="Q31" s="62">
        <f t="shared" si="4"/>
        <v>59</v>
      </c>
      <c r="R31">
        <f t="shared" si="5"/>
        <v>0.4891388888888889</v>
      </c>
      <c r="S31" s="60"/>
      <c r="Z31" s="60"/>
      <c r="AA31" s="62">
        <f t="shared" si="6"/>
        <v>59</v>
      </c>
      <c r="AB31">
        <f t="shared" si="7"/>
        <v>44.300485546806208</v>
      </c>
    </row>
    <row r="32" spans="3:32" x14ac:dyDescent="0.2">
      <c r="C32" s="61">
        <f t="shared" si="10"/>
        <v>60</v>
      </c>
      <c r="D32">
        <f t="shared" si="11"/>
        <v>0.629</v>
      </c>
      <c r="P32" s="60"/>
      <c r="Q32" s="62">
        <f t="shared" si="4"/>
        <v>60</v>
      </c>
      <c r="R32">
        <f>D32-$D$14</f>
        <v>0.58613888888888888</v>
      </c>
      <c r="S32" s="60"/>
      <c r="Z32" s="60"/>
      <c r="AA32" s="62">
        <f t="shared" si="6"/>
        <v>60</v>
      </c>
      <c r="AB32">
        <f t="shared" si="7"/>
        <v>53.085612216659534</v>
      </c>
    </row>
    <row r="33" spans="3:28" x14ac:dyDescent="0.2">
      <c r="C33" s="61">
        <f t="shared" si="10"/>
        <v>61</v>
      </c>
      <c r="D33">
        <f t="shared" si="11"/>
        <v>0.38300000000000001</v>
      </c>
      <c r="P33" s="60"/>
      <c r="Q33" s="62">
        <f t="shared" si="4"/>
        <v>61</v>
      </c>
      <c r="R33">
        <f t="shared" si="5"/>
        <v>0.34013888888888888</v>
      </c>
      <c r="S33" s="60"/>
      <c r="Z33" s="60"/>
      <c r="AA33" s="62">
        <f t="shared" si="6"/>
        <v>61</v>
      </c>
      <c r="AB33">
        <f t="shared" si="7"/>
        <v>30.805806435382017</v>
      </c>
    </row>
    <row r="34" spans="3:28" x14ac:dyDescent="0.2">
      <c r="C34" s="61">
        <f t="shared" si="10"/>
        <v>62</v>
      </c>
      <c r="D34">
        <f t="shared" si="11"/>
        <v>0.59899999999999998</v>
      </c>
      <c r="P34" s="60"/>
      <c r="Q34" s="62">
        <f t="shared" si="4"/>
        <v>62</v>
      </c>
      <c r="R34">
        <f t="shared" si="5"/>
        <v>0.55613888888888885</v>
      </c>
      <c r="S34" s="60"/>
      <c r="Z34" s="60"/>
      <c r="AA34" s="62">
        <f t="shared" si="6"/>
        <v>62</v>
      </c>
      <c r="AB34">
        <f t="shared" si="7"/>
        <v>50.368562731137885</v>
      </c>
    </row>
    <row r="35" spans="3:28" x14ac:dyDescent="0.2">
      <c r="C35" s="61">
        <f t="shared" si="10"/>
        <v>63</v>
      </c>
      <c r="D35">
        <f t="shared" si="11"/>
        <v>0.40699999999999997</v>
      </c>
      <c r="P35" s="60"/>
      <c r="Q35" s="62">
        <f t="shared" si="4"/>
        <v>63</v>
      </c>
      <c r="R35">
        <f t="shared" si="5"/>
        <v>0.36413888888888885</v>
      </c>
      <c r="S35" s="60"/>
      <c r="Z35" s="60"/>
      <c r="AA35" s="62">
        <f t="shared" si="6"/>
        <v>63</v>
      </c>
      <c r="AB35">
        <f t="shared" si="7"/>
        <v>32.979446023799333</v>
      </c>
    </row>
    <row r="36" spans="3:28" x14ac:dyDescent="0.2">
      <c r="C36" s="61">
        <f t="shared" si="10"/>
        <v>64</v>
      </c>
      <c r="D36">
        <f t="shared" si="11"/>
        <v>0.46700000000000003</v>
      </c>
      <c r="P36" s="60"/>
      <c r="Q36" s="62">
        <f t="shared" si="4"/>
        <v>64</v>
      </c>
      <c r="R36">
        <f t="shared" si="5"/>
        <v>0.4241388888888889</v>
      </c>
      <c r="S36" s="60"/>
      <c r="Z36" s="60"/>
      <c r="AA36" s="62">
        <f t="shared" si="6"/>
        <v>64</v>
      </c>
      <c r="AB36">
        <f t="shared" si="7"/>
        <v>38.413544994842638</v>
      </c>
    </row>
    <row r="37" spans="3:28" x14ac:dyDescent="0.2">
      <c r="C37" s="61">
        <f t="shared" ref="C37:C42" si="12">W5</f>
        <v>65</v>
      </c>
      <c r="D37">
        <f t="shared" ref="D37:D42" si="13">I5</f>
        <v>0.35599999999999998</v>
      </c>
      <c r="P37" s="60"/>
      <c r="Q37" s="62">
        <f t="shared" si="4"/>
        <v>65</v>
      </c>
      <c r="R37">
        <f t="shared" si="5"/>
        <v>0.31313888888888886</v>
      </c>
      <c r="S37" s="60"/>
      <c r="Z37" s="60"/>
      <c r="AA37" s="62">
        <f t="shared" si="6"/>
        <v>65</v>
      </c>
      <c r="AB37">
        <f t="shared" si="7"/>
        <v>28.360461898412535</v>
      </c>
    </row>
    <row r="38" spans="3:28" x14ac:dyDescent="0.2">
      <c r="C38" s="61">
        <f t="shared" si="12"/>
        <v>66</v>
      </c>
      <c r="D38">
        <f t="shared" si="13"/>
        <v>0.38500000000000001</v>
      </c>
      <c r="P38" s="60"/>
      <c r="Q38" s="62">
        <f t="shared" si="4"/>
        <v>66</v>
      </c>
      <c r="R38">
        <f t="shared" si="5"/>
        <v>0.34213888888888888</v>
      </c>
      <c r="S38" s="60"/>
      <c r="Z38" s="60"/>
      <c r="AA38" s="62">
        <f t="shared" si="6"/>
        <v>66</v>
      </c>
      <c r="AB38">
        <f t="shared" si="7"/>
        <v>30.986943067750129</v>
      </c>
    </row>
    <row r="39" spans="3:28" x14ac:dyDescent="0.2">
      <c r="C39" s="61">
        <f t="shared" si="12"/>
        <v>67</v>
      </c>
      <c r="D39">
        <f t="shared" si="13"/>
        <v>0.89500000000000002</v>
      </c>
      <c r="P39" s="60"/>
      <c r="Q39" s="62">
        <f t="shared" si="4"/>
        <v>67</v>
      </c>
      <c r="R39">
        <f t="shared" si="5"/>
        <v>0.85213888888888889</v>
      </c>
      <c r="S39" s="60"/>
      <c r="Z39" s="60"/>
      <c r="AA39" s="62">
        <f t="shared" si="6"/>
        <v>67</v>
      </c>
      <c r="AB39">
        <f t="shared" si="7"/>
        <v>77.176784321618143</v>
      </c>
    </row>
    <row r="40" spans="3:28" x14ac:dyDescent="0.2">
      <c r="C40" s="61">
        <f t="shared" si="12"/>
        <v>68</v>
      </c>
      <c r="D40">
        <f t="shared" si="13"/>
        <v>1.004</v>
      </c>
      <c r="P40" s="60"/>
      <c r="Q40" s="62">
        <f t="shared" si="4"/>
        <v>68</v>
      </c>
      <c r="R40">
        <f t="shared" si="5"/>
        <v>0.96113888888888888</v>
      </c>
      <c r="S40" s="60"/>
      <c r="Z40" s="60"/>
      <c r="AA40" s="62">
        <f t="shared" si="6"/>
        <v>68</v>
      </c>
      <c r="AB40">
        <f t="shared" si="7"/>
        <v>87.048730785680135</v>
      </c>
    </row>
    <row r="41" spans="3:28" x14ac:dyDescent="0.2">
      <c r="C41" s="61">
        <f t="shared" si="12"/>
        <v>69</v>
      </c>
      <c r="D41">
        <f t="shared" si="13"/>
        <v>0.93700000000000006</v>
      </c>
      <c r="P41" s="60"/>
      <c r="Q41" s="62">
        <f t="shared" si="4"/>
        <v>69</v>
      </c>
      <c r="R41">
        <f t="shared" si="5"/>
        <v>0.89413888888888893</v>
      </c>
      <c r="S41" s="60"/>
      <c r="Z41" s="60"/>
      <c r="AA41" s="62">
        <f t="shared" si="6"/>
        <v>69</v>
      </c>
      <c r="AB41">
        <f t="shared" si="7"/>
        <v>80.98065360134845</v>
      </c>
    </row>
    <row r="42" spans="3:28" x14ac:dyDescent="0.2">
      <c r="C42" s="61">
        <f t="shared" si="12"/>
        <v>70</v>
      </c>
      <c r="D42">
        <f t="shared" si="13"/>
        <v>1.0289999999999999</v>
      </c>
      <c r="P42" s="60"/>
      <c r="Q42" s="62">
        <f t="shared" si="4"/>
        <v>70</v>
      </c>
      <c r="R42">
        <f t="shared" si="5"/>
        <v>0.98613888888888879</v>
      </c>
      <c r="S42" s="60"/>
      <c r="Z42" s="60"/>
      <c r="AA42" s="62">
        <f t="shared" si="6"/>
        <v>70</v>
      </c>
      <c r="AB42">
        <f t="shared" si="7"/>
        <v>89.312938690281499</v>
      </c>
    </row>
    <row r="43" spans="3:28" x14ac:dyDescent="0.2">
      <c r="C43" s="61">
        <f t="shared" ref="C43:C48" si="14">X5</f>
        <v>71</v>
      </c>
      <c r="D43">
        <f t="shared" ref="D43:D48" si="15">J5</f>
        <v>7.1999999999999995E-2</v>
      </c>
      <c r="P43" s="60"/>
      <c r="Q43" s="62">
        <f t="shared" si="4"/>
        <v>71</v>
      </c>
      <c r="R43">
        <f t="shared" si="5"/>
        <v>2.9138888888888881E-2</v>
      </c>
      <c r="S43" s="60"/>
      <c r="Z43" s="60"/>
      <c r="AA43" s="62">
        <f t="shared" si="6"/>
        <v>71</v>
      </c>
      <c r="AB43">
        <f t="shared" si="7"/>
        <v>2.6390601021409332</v>
      </c>
    </row>
    <row r="44" spans="3:28" x14ac:dyDescent="0.2">
      <c r="C44" s="61">
        <f t="shared" si="14"/>
        <v>72</v>
      </c>
      <c r="D44">
        <f t="shared" si="15"/>
        <v>8.5000000000000006E-2</v>
      </c>
      <c r="P44" s="60"/>
      <c r="Q44" s="62">
        <f t="shared" si="4"/>
        <v>72</v>
      </c>
      <c r="R44">
        <f t="shared" si="5"/>
        <v>4.2138888888888892E-2</v>
      </c>
      <c r="S44" s="60"/>
      <c r="Z44" s="60"/>
      <c r="AA44" s="62">
        <f t="shared" si="6"/>
        <v>72</v>
      </c>
      <c r="AB44">
        <f t="shared" si="7"/>
        <v>3.8164482125336487</v>
      </c>
    </row>
    <row r="45" spans="3:28" x14ac:dyDescent="0.2">
      <c r="C45" s="61">
        <f t="shared" si="14"/>
        <v>73</v>
      </c>
      <c r="D45">
        <f t="shared" si="15"/>
        <v>6.5000000000000002E-2</v>
      </c>
      <c r="P45" s="60"/>
      <c r="Q45" s="62">
        <f t="shared" si="4"/>
        <v>73</v>
      </c>
      <c r="R45">
        <f t="shared" si="5"/>
        <v>2.2138888888888889E-2</v>
      </c>
      <c r="S45" s="60"/>
      <c r="Z45" s="60"/>
      <c r="AA45" s="62">
        <f t="shared" si="6"/>
        <v>73</v>
      </c>
      <c r="AB45">
        <f t="shared" si="7"/>
        <v>2.0050818888525495</v>
      </c>
    </row>
    <row r="46" spans="3:28" x14ac:dyDescent="0.2">
      <c r="C46" s="61">
        <f t="shared" si="14"/>
        <v>74</v>
      </c>
      <c r="D46">
        <f t="shared" si="15"/>
        <v>6.7000000000000004E-2</v>
      </c>
      <c r="P46" s="60"/>
      <c r="Q46" s="62">
        <f t="shared" si="4"/>
        <v>74</v>
      </c>
      <c r="R46">
        <f t="shared" si="5"/>
        <v>2.413888888888889E-2</v>
      </c>
      <c r="S46" s="60"/>
      <c r="Z46" s="60"/>
      <c r="AA46" s="62">
        <f t="shared" si="6"/>
        <v>74</v>
      </c>
      <c r="AB46">
        <f t="shared" si="7"/>
        <v>2.1862185212206597</v>
      </c>
    </row>
    <row r="47" spans="3:28" x14ac:dyDescent="0.2">
      <c r="C47" s="61">
        <f t="shared" si="14"/>
        <v>75</v>
      </c>
      <c r="D47">
        <f t="shared" si="15"/>
        <v>0.32500000000000001</v>
      </c>
      <c r="P47" s="60"/>
      <c r="Q47" s="62">
        <f t="shared" si="4"/>
        <v>75</v>
      </c>
      <c r="R47">
        <f t="shared" si="5"/>
        <v>0.28213888888888888</v>
      </c>
      <c r="S47" s="60"/>
      <c r="Z47" s="60"/>
      <c r="AA47" s="62">
        <f t="shared" si="6"/>
        <v>75</v>
      </c>
      <c r="AB47">
        <f t="shared" si="7"/>
        <v>25.552844096706831</v>
      </c>
    </row>
    <row r="48" spans="3:28" x14ac:dyDescent="0.2">
      <c r="C48" s="61">
        <f t="shared" si="14"/>
        <v>76</v>
      </c>
      <c r="D48">
        <f t="shared" si="15"/>
        <v>0.50700000000000001</v>
      </c>
      <c r="P48" s="60"/>
      <c r="Q48" s="62">
        <f t="shared" si="4"/>
        <v>76</v>
      </c>
      <c r="R48">
        <f t="shared" si="5"/>
        <v>0.46413888888888888</v>
      </c>
      <c r="S48" s="60"/>
      <c r="Z48" s="60"/>
      <c r="AA48" s="62">
        <f t="shared" si="6"/>
        <v>76</v>
      </c>
      <c r="AB48">
        <f t="shared" si="7"/>
        <v>42.03627764220483</v>
      </c>
    </row>
    <row r="49" spans="2:28" x14ac:dyDescent="0.2">
      <c r="C49" s="61">
        <f t="shared" ref="C49:C54" si="16">Y5</f>
        <v>77</v>
      </c>
      <c r="D49">
        <f t="shared" ref="D49:D54" si="17">K5</f>
        <v>0.36599999999999999</v>
      </c>
      <c r="P49" s="60"/>
      <c r="Q49" s="62">
        <f t="shared" si="4"/>
        <v>77</v>
      </c>
      <c r="R49">
        <f t="shared" si="5"/>
        <v>0.32313888888888886</v>
      </c>
      <c r="S49" s="60"/>
      <c r="Z49" s="60"/>
      <c r="AA49" s="62">
        <f t="shared" si="6"/>
        <v>77</v>
      </c>
      <c r="AB49">
        <f t="shared" si="7"/>
        <v>29.266145060253081</v>
      </c>
    </row>
    <row r="50" spans="2:28" x14ac:dyDescent="0.2">
      <c r="C50" s="61">
        <f t="shared" si="16"/>
        <v>78</v>
      </c>
      <c r="D50">
        <f t="shared" si="17"/>
        <v>0.26600000000000001</v>
      </c>
      <c r="P50" s="60"/>
      <c r="Q50" s="62">
        <f t="shared" si="4"/>
        <v>78</v>
      </c>
      <c r="R50">
        <f t="shared" si="5"/>
        <v>0.22313888888888889</v>
      </c>
      <c r="S50" s="60"/>
      <c r="Z50" s="60"/>
      <c r="AA50" s="62">
        <f t="shared" si="6"/>
        <v>78</v>
      </c>
      <c r="AB50">
        <f t="shared" si="7"/>
        <v>20.209313441847591</v>
      </c>
    </row>
    <row r="51" spans="2:28" x14ac:dyDescent="0.2">
      <c r="C51" s="61">
        <f t="shared" si="16"/>
        <v>79</v>
      </c>
      <c r="D51">
        <f t="shared" si="17"/>
        <v>0.56699999999999995</v>
      </c>
      <c r="P51" s="60"/>
      <c r="Q51" s="62">
        <f t="shared" si="4"/>
        <v>79</v>
      </c>
      <c r="R51">
        <f t="shared" si="5"/>
        <v>0.52413888888888882</v>
      </c>
      <c r="S51" s="60"/>
      <c r="Z51" s="60"/>
      <c r="AA51" s="62">
        <f t="shared" si="6"/>
        <v>79</v>
      </c>
      <c r="AB51">
        <f t="shared" si="7"/>
        <v>47.470376613248121</v>
      </c>
    </row>
    <row r="52" spans="2:28" x14ac:dyDescent="0.2">
      <c r="C52" s="61">
        <f t="shared" si="16"/>
        <v>80</v>
      </c>
      <c r="D52">
        <f t="shared" si="17"/>
        <v>0.66200000000000003</v>
      </c>
      <c r="P52" s="60"/>
      <c r="Q52" s="62">
        <f t="shared" si="4"/>
        <v>80</v>
      </c>
      <c r="R52">
        <f t="shared" si="5"/>
        <v>0.61913888888888891</v>
      </c>
      <c r="S52" s="60"/>
      <c r="Z52" s="60"/>
      <c r="AA52" s="62">
        <f t="shared" si="6"/>
        <v>80</v>
      </c>
      <c r="AB52">
        <f t="shared" si="7"/>
        <v>56.074366650733346</v>
      </c>
    </row>
    <row r="53" spans="2:28" x14ac:dyDescent="0.2">
      <c r="C53" s="61">
        <f t="shared" si="16"/>
        <v>81</v>
      </c>
      <c r="D53">
        <f t="shared" si="17"/>
        <v>0.68100000000000005</v>
      </c>
      <c r="P53" s="60"/>
      <c r="Q53" s="62">
        <f t="shared" si="4"/>
        <v>81</v>
      </c>
      <c r="R53">
        <f t="shared" si="5"/>
        <v>0.63813888888888892</v>
      </c>
      <c r="S53" s="60"/>
      <c r="Z53" s="60"/>
      <c r="AA53" s="62">
        <f t="shared" si="6"/>
        <v>81</v>
      </c>
      <c r="AB53">
        <f t="shared" si="7"/>
        <v>57.795164658230391</v>
      </c>
    </row>
    <row r="54" spans="2:28" x14ac:dyDescent="0.2">
      <c r="C54" s="61">
        <f t="shared" si="16"/>
        <v>82</v>
      </c>
      <c r="D54">
        <f t="shared" si="17"/>
        <v>0.71699999999999997</v>
      </c>
      <c r="P54" s="60"/>
      <c r="Q54" s="62">
        <f t="shared" si="4"/>
        <v>82</v>
      </c>
      <c r="R54">
        <f t="shared" si="5"/>
        <v>0.67413888888888884</v>
      </c>
      <c r="S54" s="60"/>
      <c r="Z54" s="60"/>
      <c r="AA54" s="62">
        <f t="shared" si="6"/>
        <v>82</v>
      </c>
      <c r="AB54">
        <f t="shared" si="7"/>
        <v>61.055624040856372</v>
      </c>
    </row>
    <row r="55" spans="2:28" x14ac:dyDescent="0.2">
      <c r="C55" s="61">
        <f t="shared" ref="C55:C60" si="18">AA5</f>
        <v>83</v>
      </c>
      <c r="D55">
        <f t="shared" ref="D55:D60" si="19">M5</f>
        <v>0.122</v>
      </c>
      <c r="P55" s="60"/>
      <c r="Q55" s="62">
        <f t="shared" si="4"/>
        <v>83</v>
      </c>
      <c r="R55">
        <f t="shared" si="5"/>
        <v>7.9138888888888884E-2</v>
      </c>
      <c r="S55" s="60"/>
      <c r="Z55" s="60"/>
      <c r="AA55" s="62">
        <f t="shared" si="6"/>
        <v>83</v>
      </c>
      <c r="AB55">
        <f t="shared" si="7"/>
        <v>7.167475911343681</v>
      </c>
    </row>
    <row r="56" spans="2:28" x14ac:dyDescent="0.2">
      <c r="C56" s="61">
        <f t="shared" si="18"/>
        <v>84</v>
      </c>
      <c r="D56">
        <f t="shared" si="19"/>
        <v>0.189</v>
      </c>
      <c r="P56" s="60"/>
      <c r="Q56" s="62">
        <f t="shared" si="4"/>
        <v>84</v>
      </c>
      <c r="R56">
        <f t="shared" si="5"/>
        <v>0.14613888888888887</v>
      </c>
      <c r="Z56" s="60"/>
      <c r="AA56" s="62">
        <f t="shared" si="6"/>
        <v>84</v>
      </c>
      <c r="AB56">
        <f t="shared" si="7"/>
        <v>13.23555309567536</v>
      </c>
    </row>
    <row r="57" spans="2:28" x14ac:dyDescent="0.2">
      <c r="C57" s="61">
        <f t="shared" si="18"/>
        <v>85</v>
      </c>
      <c r="D57">
        <f t="shared" si="19"/>
        <v>0.28699999999999998</v>
      </c>
      <c r="P57" s="60"/>
      <c r="Q57" s="62">
        <f t="shared" si="4"/>
        <v>85</v>
      </c>
      <c r="R57">
        <f>D57-$D$14</f>
        <v>0.24413888888888885</v>
      </c>
      <c r="S57" s="58"/>
      <c r="Z57" s="60"/>
      <c r="AA57" s="62">
        <f t="shared" si="6"/>
        <v>85</v>
      </c>
      <c r="AB57">
        <f t="shared" si="7"/>
        <v>22.111248081712741</v>
      </c>
    </row>
    <row r="58" spans="2:28" x14ac:dyDescent="0.2">
      <c r="C58" s="61">
        <f t="shared" si="18"/>
        <v>86</v>
      </c>
      <c r="D58">
        <f t="shared" si="19"/>
        <v>0.39600000000000002</v>
      </c>
      <c r="P58" s="60"/>
      <c r="Q58" s="62">
        <f t="shared" si="4"/>
        <v>86</v>
      </c>
      <c r="R58">
        <f t="shared" si="5"/>
        <v>0.35313888888888889</v>
      </c>
      <c r="Z58" s="60"/>
      <c r="AA58" s="62">
        <f t="shared" si="6"/>
        <v>86</v>
      </c>
      <c r="AB58">
        <f t="shared" si="7"/>
        <v>31.983194545774733</v>
      </c>
    </row>
    <row r="59" spans="2:28" x14ac:dyDescent="0.2">
      <c r="C59" s="61">
        <f t="shared" si="18"/>
        <v>87</v>
      </c>
      <c r="D59">
        <f t="shared" si="19"/>
        <v>0.73099999999999998</v>
      </c>
      <c r="P59" s="60"/>
      <c r="Q59" s="62">
        <f t="shared" si="4"/>
        <v>87</v>
      </c>
      <c r="R59">
        <f t="shared" si="5"/>
        <v>0.68813888888888886</v>
      </c>
      <c r="Z59" s="60"/>
      <c r="AA59" s="62">
        <f t="shared" si="6"/>
        <v>87</v>
      </c>
      <c r="AB59">
        <f t="shared" si="7"/>
        <v>62.323580467433132</v>
      </c>
    </row>
    <row r="60" spans="2:28" x14ac:dyDescent="0.2">
      <c r="C60" s="61">
        <f t="shared" si="18"/>
        <v>88</v>
      </c>
      <c r="D60">
        <f t="shared" si="19"/>
        <v>0.75700000000000001</v>
      </c>
      <c r="P60" s="60"/>
      <c r="Q60" s="62">
        <f t="shared" si="4"/>
        <v>88</v>
      </c>
      <c r="R60">
        <f t="shared" si="5"/>
        <v>0.71413888888888888</v>
      </c>
      <c r="Z60" s="60"/>
      <c r="AA60" s="62">
        <f t="shared" si="6"/>
        <v>88</v>
      </c>
      <c r="AB60">
        <f t="shared" si="7"/>
        <v>64.678356688218571</v>
      </c>
    </row>
    <row r="63" spans="2:28" x14ac:dyDescent="0.2">
      <c r="B63" s="7" t="s">
        <v>86</v>
      </c>
      <c r="C63" s="40">
        <v>45385</v>
      </c>
      <c r="D63" s="7" t="s">
        <v>67</v>
      </c>
      <c r="E63" s="41"/>
    </row>
    <row r="64" spans="2:28" x14ac:dyDescent="0.2">
      <c r="B64" s="42"/>
      <c r="C64" s="42">
        <v>1</v>
      </c>
      <c r="D64" s="42">
        <v>2</v>
      </c>
      <c r="E64" s="42">
        <v>3</v>
      </c>
      <c r="F64" s="42">
        <v>4</v>
      </c>
      <c r="G64" s="42">
        <v>5</v>
      </c>
      <c r="H64" s="42">
        <v>6</v>
      </c>
      <c r="I64" s="42">
        <v>7</v>
      </c>
      <c r="J64" s="42">
        <v>8</v>
      </c>
      <c r="K64" s="42">
        <v>9</v>
      </c>
      <c r="L64" s="42">
        <v>10</v>
      </c>
      <c r="M64" s="42">
        <v>11</v>
      </c>
      <c r="N64" s="42">
        <v>12</v>
      </c>
      <c r="Q64" s="1">
        <v>1</v>
      </c>
      <c r="R64" s="1">
        <v>2</v>
      </c>
      <c r="S64" s="1">
        <v>3</v>
      </c>
      <c r="T64" s="1">
        <v>4</v>
      </c>
      <c r="U64" s="1">
        <v>5</v>
      </c>
      <c r="V64" s="1">
        <v>6</v>
      </c>
      <c r="W64" s="1">
        <v>7</v>
      </c>
      <c r="X64" s="1">
        <v>8</v>
      </c>
      <c r="Y64" s="1">
        <v>9</v>
      </c>
      <c r="Z64" s="1">
        <v>10</v>
      </c>
      <c r="AA64" s="1">
        <v>11</v>
      </c>
      <c r="AB64" s="1">
        <v>12</v>
      </c>
    </row>
    <row r="65" spans="2:38" x14ac:dyDescent="0.2">
      <c r="B65" s="43" t="s">
        <v>0</v>
      </c>
      <c r="C65" s="44">
        <v>4.2999999999999997E-2</v>
      </c>
      <c r="D65" s="44">
        <v>4.7E-2</v>
      </c>
      <c r="E65" s="44">
        <v>4.4999999999999998E-2</v>
      </c>
      <c r="F65" s="44">
        <v>4.4999999999999998E-2</v>
      </c>
      <c r="G65" s="44">
        <v>4.2000000000000003E-2</v>
      </c>
      <c r="H65" s="44">
        <v>4.2999999999999997E-2</v>
      </c>
      <c r="I65" s="44">
        <v>4.4999999999999998E-2</v>
      </c>
      <c r="J65" s="44">
        <v>4.2999999999999997E-2</v>
      </c>
      <c r="K65" s="44">
        <v>4.2000000000000003E-2</v>
      </c>
      <c r="L65" s="44">
        <v>4.2999999999999997E-2</v>
      </c>
      <c r="M65" s="44">
        <v>4.2999999999999997E-2</v>
      </c>
      <c r="N65" s="44">
        <v>4.7E-2</v>
      </c>
      <c r="O65" s="18">
        <v>570</v>
      </c>
      <c r="P65" s="1" t="s">
        <v>0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2:38" x14ac:dyDescent="0.2">
      <c r="B66" s="43" t="s">
        <v>1</v>
      </c>
      <c r="C66" s="44">
        <v>4.2999999999999997E-2</v>
      </c>
      <c r="D66" s="49">
        <v>1.135</v>
      </c>
      <c r="E66" s="50">
        <v>0.36399999999999999</v>
      </c>
      <c r="F66" s="44">
        <v>7.5999999999999998E-2</v>
      </c>
      <c r="G66" s="52">
        <v>0.55600000000000005</v>
      </c>
      <c r="H66" s="49">
        <v>1.139</v>
      </c>
      <c r="I66" s="50">
        <v>0.36399999999999999</v>
      </c>
      <c r="J66" s="44">
        <v>4.9000000000000002E-2</v>
      </c>
      <c r="K66" s="51">
        <v>0.442</v>
      </c>
      <c r="L66" s="67">
        <v>1.091</v>
      </c>
      <c r="M66" s="44">
        <v>0.126</v>
      </c>
      <c r="N66" s="44">
        <v>4.2999999999999997E-2</v>
      </c>
      <c r="O66" s="18">
        <v>570</v>
      </c>
      <c r="P66" s="1" t="s">
        <v>1</v>
      </c>
      <c r="Q66" s="2"/>
      <c r="R66" s="3" t="s">
        <v>2</v>
      </c>
      <c r="S66" s="4">
        <v>47</v>
      </c>
      <c r="T66" s="4">
        <v>53</v>
      </c>
      <c r="U66" s="4">
        <v>59</v>
      </c>
      <c r="V66" s="3" t="s">
        <v>2</v>
      </c>
      <c r="W66" s="4">
        <v>65</v>
      </c>
      <c r="X66" s="4">
        <v>71</v>
      </c>
      <c r="Y66" s="4">
        <v>77</v>
      </c>
      <c r="Z66" s="3" t="s">
        <v>2</v>
      </c>
      <c r="AA66" s="4">
        <v>83</v>
      </c>
      <c r="AB66" s="5"/>
    </row>
    <row r="67" spans="2:38" x14ac:dyDescent="0.2">
      <c r="B67" s="43" t="s">
        <v>3</v>
      </c>
      <c r="C67" s="44">
        <v>4.3999999999999997E-2</v>
      </c>
      <c r="D67" s="44">
        <v>9.4E-2</v>
      </c>
      <c r="E67" s="51">
        <v>0.51</v>
      </c>
      <c r="F67" s="44">
        <v>0.126</v>
      </c>
      <c r="G67" s="53">
        <v>0.66</v>
      </c>
      <c r="H67" s="44">
        <v>0.1</v>
      </c>
      <c r="I67" s="48">
        <v>0.312</v>
      </c>
      <c r="J67" s="44">
        <v>8.8999999999999996E-2</v>
      </c>
      <c r="K67" s="47">
        <v>0.23400000000000001</v>
      </c>
      <c r="L67" s="44">
        <v>7.0000000000000007E-2</v>
      </c>
      <c r="M67" s="47">
        <v>0.189</v>
      </c>
      <c r="N67" s="44">
        <v>4.2000000000000003E-2</v>
      </c>
      <c r="O67" s="18">
        <v>570</v>
      </c>
      <c r="P67" s="1" t="s">
        <v>3</v>
      </c>
      <c r="Q67" s="2"/>
      <c r="R67" s="6" t="s">
        <v>4</v>
      </c>
      <c r="S67" s="4">
        <v>48</v>
      </c>
      <c r="T67" s="4">
        <v>54</v>
      </c>
      <c r="U67" s="4">
        <v>60</v>
      </c>
      <c r="V67" s="6" t="s">
        <v>4</v>
      </c>
      <c r="W67" s="4">
        <v>66</v>
      </c>
      <c r="X67" s="4">
        <v>72</v>
      </c>
      <c r="Y67" s="4">
        <v>78</v>
      </c>
      <c r="Z67" s="6" t="s">
        <v>4</v>
      </c>
      <c r="AA67" s="4">
        <v>84</v>
      </c>
      <c r="AB67" s="5"/>
    </row>
    <row r="68" spans="2:38" x14ac:dyDescent="0.2">
      <c r="B68" s="43" t="s">
        <v>5</v>
      </c>
      <c r="C68" s="44">
        <v>5.3999999999999999E-2</v>
      </c>
      <c r="D68" s="49">
        <v>1.119</v>
      </c>
      <c r="E68" s="53">
        <v>0.67800000000000005</v>
      </c>
      <c r="F68" s="46">
        <v>0.79500000000000004</v>
      </c>
      <c r="G68" s="51">
        <v>0.47699999999999998</v>
      </c>
      <c r="H68" s="45">
        <v>1.24</v>
      </c>
      <c r="I68" s="55">
        <v>0.97399999999999998</v>
      </c>
      <c r="J68" s="44">
        <v>0.06</v>
      </c>
      <c r="K68" s="52">
        <v>0.60799999999999998</v>
      </c>
      <c r="L68" s="49">
        <v>1.1419999999999999</v>
      </c>
      <c r="M68" s="48">
        <v>0.311</v>
      </c>
      <c r="N68" s="44">
        <v>4.2999999999999997E-2</v>
      </c>
      <c r="O68" s="18">
        <v>570</v>
      </c>
      <c r="P68" s="1" t="s">
        <v>5</v>
      </c>
      <c r="Q68" s="2"/>
      <c r="R68" s="3" t="s">
        <v>2</v>
      </c>
      <c r="S68" s="4">
        <v>49</v>
      </c>
      <c r="T68" s="4">
        <v>55</v>
      </c>
      <c r="U68" s="4">
        <v>61</v>
      </c>
      <c r="V68" s="3" t="s">
        <v>2</v>
      </c>
      <c r="W68" s="4">
        <v>67</v>
      </c>
      <c r="X68" s="4">
        <v>73</v>
      </c>
      <c r="Y68" s="4">
        <v>79</v>
      </c>
      <c r="Z68" s="3" t="s">
        <v>2</v>
      </c>
      <c r="AA68" s="4">
        <v>85</v>
      </c>
      <c r="AB68" s="5"/>
    </row>
    <row r="69" spans="2:38" x14ac:dyDescent="0.2">
      <c r="B69" s="43" t="s">
        <v>6</v>
      </c>
      <c r="C69" s="44">
        <v>4.4999999999999998E-2</v>
      </c>
      <c r="D69" s="44">
        <v>9.0999999999999998E-2</v>
      </c>
      <c r="E69" s="51">
        <v>0.52</v>
      </c>
      <c r="F69" s="46">
        <v>0.80100000000000005</v>
      </c>
      <c r="G69" s="53">
        <v>0.70299999999999996</v>
      </c>
      <c r="H69" s="44">
        <v>0.08</v>
      </c>
      <c r="I69" s="67">
        <v>1.0229999999999999</v>
      </c>
      <c r="J69" s="44">
        <v>8.3000000000000004E-2</v>
      </c>
      <c r="K69" s="46">
        <v>0.751</v>
      </c>
      <c r="L69" s="44">
        <v>6.0999999999999999E-2</v>
      </c>
      <c r="M69" s="50">
        <v>0.39900000000000002</v>
      </c>
      <c r="N69" s="44">
        <v>4.2999999999999997E-2</v>
      </c>
      <c r="O69" s="18">
        <v>570</v>
      </c>
      <c r="P69" s="1" t="s">
        <v>6</v>
      </c>
      <c r="Q69" s="2"/>
      <c r="R69" s="6" t="s">
        <v>4</v>
      </c>
      <c r="S69" s="4">
        <v>50</v>
      </c>
      <c r="T69" s="4">
        <v>56</v>
      </c>
      <c r="U69" s="4">
        <v>62</v>
      </c>
      <c r="V69" s="6" t="s">
        <v>4</v>
      </c>
      <c r="W69" s="4">
        <v>68</v>
      </c>
      <c r="X69" s="4">
        <v>74</v>
      </c>
      <c r="Y69" s="4">
        <v>80</v>
      </c>
      <c r="Z69" s="6" t="s">
        <v>4</v>
      </c>
      <c r="AA69" s="4">
        <v>86</v>
      </c>
      <c r="AB69" s="5"/>
    </row>
    <row r="70" spans="2:38" x14ac:dyDescent="0.2">
      <c r="B70" s="43" t="s">
        <v>7</v>
      </c>
      <c r="C70" s="44">
        <v>4.7E-2</v>
      </c>
      <c r="D70" s="49">
        <v>1.1830000000000001</v>
      </c>
      <c r="E70" s="44">
        <v>7.4999999999999997E-2</v>
      </c>
      <c r="F70" s="53">
        <v>0.63700000000000001</v>
      </c>
      <c r="G70" s="51">
        <v>0.45100000000000001</v>
      </c>
      <c r="H70" s="54">
        <v>1.389</v>
      </c>
      <c r="I70" s="67">
        <v>1.0389999999999999</v>
      </c>
      <c r="J70" s="50">
        <v>0.36799999999999999</v>
      </c>
      <c r="K70" s="53">
        <v>0.66300000000000003</v>
      </c>
      <c r="L70" s="54">
        <v>1.3149999999999999</v>
      </c>
      <c r="M70" s="46">
        <v>0.78100000000000003</v>
      </c>
      <c r="N70" s="44">
        <v>4.5999999999999999E-2</v>
      </c>
      <c r="O70" s="18">
        <v>570</v>
      </c>
      <c r="P70" s="1" t="s">
        <v>7</v>
      </c>
      <c r="Q70" s="2"/>
      <c r="R70" s="3" t="s">
        <v>2</v>
      </c>
      <c r="S70" s="4">
        <v>51</v>
      </c>
      <c r="T70" s="4">
        <v>57</v>
      </c>
      <c r="U70" s="4">
        <v>63</v>
      </c>
      <c r="V70" s="3" t="s">
        <v>2</v>
      </c>
      <c r="W70" s="4">
        <v>69</v>
      </c>
      <c r="X70" s="4">
        <v>75</v>
      </c>
      <c r="Y70" s="4">
        <v>81</v>
      </c>
      <c r="Z70" s="3" t="s">
        <v>2</v>
      </c>
      <c r="AA70" s="4">
        <v>87</v>
      </c>
      <c r="AB70" s="5"/>
    </row>
    <row r="71" spans="2:38" x14ac:dyDescent="0.2">
      <c r="B71" s="43" t="s">
        <v>8</v>
      </c>
      <c r="C71" s="44">
        <v>4.2999999999999997E-2</v>
      </c>
      <c r="D71" s="44">
        <v>7.9000000000000001E-2</v>
      </c>
      <c r="E71" s="44">
        <v>8.3000000000000004E-2</v>
      </c>
      <c r="F71" s="55">
        <v>0.98199999999999998</v>
      </c>
      <c r="G71" s="51">
        <v>0.48699999999999999</v>
      </c>
      <c r="H71" s="44">
        <v>6.2E-2</v>
      </c>
      <c r="I71" s="55">
        <v>0.97499999999999998</v>
      </c>
      <c r="J71" s="52">
        <v>0.54400000000000004</v>
      </c>
      <c r="K71" s="46">
        <v>0.73399999999999999</v>
      </c>
      <c r="L71" s="44">
        <v>6.2E-2</v>
      </c>
      <c r="M71" s="46">
        <v>0.76600000000000001</v>
      </c>
      <c r="N71" s="44">
        <v>4.2000000000000003E-2</v>
      </c>
      <c r="O71" s="18">
        <v>570</v>
      </c>
      <c r="P71" s="1" t="s">
        <v>8</v>
      </c>
      <c r="Q71" s="2"/>
      <c r="R71" s="6" t="s">
        <v>4</v>
      </c>
      <c r="S71" s="4">
        <v>52</v>
      </c>
      <c r="T71" s="4">
        <v>58</v>
      </c>
      <c r="U71" s="4">
        <v>64</v>
      </c>
      <c r="V71" s="6" t="s">
        <v>4</v>
      </c>
      <c r="W71" s="4">
        <v>70</v>
      </c>
      <c r="X71" s="4">
        <v>76</v>
      </c>
      <c r="Y71" s="4">
        <v>82</v>
      </c>
      <c r="Z71" s="6" t="s">
        <v>4</v>
      </c>
      <c r="AA71" s="4">
        <v>88</v>
      </c>
      <c r="AB71" s="5"/>
    </row>
    <row r="72" spans="2:38" x14ac:dyDescent="0.2">
      <c r="B72" s="43" t="s">
        <v>9</v>
      </c>
      <c r="C72" s="44">
        <v>4.2000000000000003E-2</v>
      </c>
      <c r="D72" s="44">
        <v>0.05</v>
      </c>
      <c r="E72" s="44">
        <v>4.3999999999999997E-2</v>
      </c>
      <c r="F72" s="44">
        <v>4.2999999999999997E-2</v>
      </c>
      <c r="G72" s="44">
        <v>4.3999999999999997E-2</v>
      </c>
      <c r="H72" s="44">
        <v>4.5999999999999999E-2</v>
      </c>
      <c r="I72" s="44">
        <v>4.3999999999999997E-2</v>
      </c>
      <c r="J72" s="44">
        <v>4.2000000000000003E-2</v>
      </c>
      <c r="K72" s="44">
        <v>4.2999999999999997E-2</v>
      </c>
      <c r="L72" s="44">
        <v>4.4999999999999998E-2</v>
      </c>
      <c r="M72" s="44">
        <v>4.2999999999999997E-2</v>
      </c>
      <c r="N72" s="44">
        <v>4.5999999999999999E-2</v>
      </c>
      <c r="O72" s="18">
        <v>570</v>
      </c>
      <c r="P72" s="1" t="s">
        <v>9</v>
      </c>
      <c r="Q72" s="2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4" spans="2:38" x14ac:dyDescent="0.2">
      <c r="B74" s="57" t="s">
        <v>42</v>
      </c>
      <c r="P74" s="57" t="s">
        <v>43</v>
      </c>
    </row>
    <row r="75" spans="2:38" x14ac:dyDescent="0.2">
      <c r="C75" s="58" t="s">
        <v>44</v>
      </c>
      <c r="D75">
        <f>AVERAGE(D72:N72,N65:N71,D65:M65,C65:C72)</f>
        <v>4.4305555555555549E-2</v>
      </c>
      <c r="AE75" t="s">
        <v>45</v>
      </c>
      <c r="AH75" t="s">
        <v>46</v>
      </c>
    </row>
    <row r="76" spans="2:38" x14ac:dyDescent="0.2">
      <c r="C76" s="58" t="s">
        <v>47</v>
      </c>
      <c r="D76">
        <f>D66</f>
        <v>1.135</v>
      </c>
      <c r="E76">
        <f>D68</f>
        <v>1.119</v>
      </c>
      <c r="F76">
        <f>D70</f>
        <v>1.1830000000000001</v>
      </c>
      <c r="G76">
        <f>H66</f>
        <v>1.139</v>
      </c>
      <c r="H76">
        <f>H68</f>
        <v>1.24</v>
      </c>
      <c r="I76">
        <f>H70</f>
        <v>1.389</v>
      </c>
      <c r="J76">
        <f>L66</f>
        <v>1.091</v>
      </c>
      <c r="K76">
        <f>L68</f>
        <v>1.1419999999999999</v>
      </c>
      <c r="L76">
        <f>L70</f>
        <v>1.3149999999999999</v>
      </c>
      <c r="Q76" s="58" t="s">
        <v>47</v>
      </c>
      <c r="R76">
        <f>D76-$D$75</f>
        <v>1.0906944444444444</v>
      </c>
      <c r="S76">
        <f>E76-$D$75</f>
        <v>1.0746944444444444</v>
      </c>
      <c r="T76">
        <f t="shared" ref="T76:Z76" si="20">F76-$D$75</f>
        <v>1.1386944444444445</v>
      </c>
      <c r="U76">
        <f t="shared" si="20"/>
        <v>1.0946944444444444</v>
      </c>
      <c r="V76">
        <f t="shared" si="20"/>
        <v>1.1956944444444444</v>
      </c>
      <c r="W76">
        <f t="shared" si="20"/>
        <v>1.3446944444444444</v>
      </c>
      <c r="X76">
        <f t="shared" si="20"/>
        <v>1.0466944444444444</v>
      </c>
      <c r="Y76">
        <f t="shared" si="20"/>
        <v>1.0976944444444443</v>
      </c>
      <c r="Z76">
        <f t="shared" si="20"/>
        <v>1.2706944444444443</v>
      </c>
      <c r="AE76" t="s">
        <v>48</v>
      </c>
      <c r="AF76">
        <f>AVERAGE(R76:Z76)</f>
        <v>1.1504722222222221</v>
      </c>
      <c r="AH76" t="s">
        <v>48</v>
      </c>
      <c r="AI76">
        <f>AVERAGE(R78:Z78)</f>
        <v>3.3361111111111119E-2</v>
      </c>
      <c r="AK76" s="59" t="s">
        <v>49</v>
      </c>
      <c r="AL76" s="59">
        <f>1- ((3*(AF77+AI77))/(AF76-AI76))</f>
        <v>0.69084195325005826</v>
      </c>
    </row>
    <row r="77" spans="2:38" x14ac:dyDescent="0.2">
      <c r="C77" s="58"/>
      <c r="G77" s="60"/>
      <c r="Q77" s="58"/>
      <c r="AE77" t="s">
        <v>50</v>
      </c>
      <c r="AF77">
        <f>STDEV(R76:Z76)</f>
        <v>0.1002132448553805</v>
      </c>
      <c r="AH77" t="s">
        <v>50</v>
      </c>
      <c r="AI77">
        <f>STDEV(R78:Z78)</f>
        <v>1.4908051515875567E-2</v>
      </c>
      <c r="AK77" s="59"/>
      <c r="AL77" s="59"/>
    </row>
    <row r="78" spans="2:38" x14ac:dyDescent="0.2">
      <c r="C78" s="58" t="s">
        <v>4</v>
      </c>
      <c r="D78">
        <f>D67</f>
        <v>9.4E-2</v>
      </c>
      <c r="E78">
        <f>D69</f>
        <v>9.0999999999999998E-2</v>
      </c>
      <c r="F78">
        <f>D71</f>
        <v>7.9000000000000001E-2</v>
      </c>
      <c r="G78">
        <f>H67</f>
        <v>0.1</v>
      </c>
      <c r="H78">
        <f>H69</f>
        <v>0.08</v>
      </c>
      <c r="I78">
        <f>H71</f>
        <v>6.2E-2</v>
      </c>
      <c r="J78">
        <f>L67</f>
        <v>7.0000000000000007E-2</v>
      </c>
      <c r="K78">
        <f>L69</f>
        <v>6.0999999999999999E-2</v>
      </c>
      <c r="L78">
        <f>L71</f>
        <v>6.2E-2</v>
      </c>
      <c r="Q78" s="58" t="s">
        <v>4</v>
      </c>
      <c r="R78">
        <f>D78-$D$75</f>
        <v>4.9694444444444451E-2</v>
      </c>
      <c r="S78">
        <f t="shared" ref="S78:Z78" si="21">E78-$D$75</f>
        <v>4.6694444444444448E-2</v>
      </c>
      <c r="T78">
        <f t="shared" si="21"/>
        <v>3.4694444444444451E-2</v>
      </c>
      <c r="U78">
        <f t="shared" si="21"/>
        <v>5.5694444444444456E-2</v>
      </c>
      <c r="V78">
        <f t="shared" si="21"/>
        <v>3.5694444444444452E-2</v>
      </c>
      <c r="W78">
        <f t="shared" si="21"/>
        <v>1.769444444444445E-2</v>
      </c>
      <c r="X78">
        <f t="shared" si="21"/>
        <v>2.5694444444444457E-2</v>
      </c>
      <c r="Y78">
        <f t="shared" si="21"/>
        <v>1.6694444444444449E-2</v>
      </c>
      <c r="Z78">
        <f t="shared" si="21"/>
        <v>1.769444444444445E-2</v>
      </c>
      <c r="AB78" s="58" t="s">
        <v>51</v>
      </c>
      <c r="AC78" s="58" t="s">
        <v>52</v>
      </c>
      <c r="AD78" s="58"/>
      <c r="AE78" t="s">
        <v>53</v>
      </c>
      <c r="AF78">
        <f>AF77*100/AF76</f>
        <v>8.7106183808428863</v>
      </c>
    </row>
    <row r="79" spans="2:38" x14ac:dyDescent="0.2">
      <c r="C79" s="58"/>
      <c r="D79" s="60"/>
      <c r="Q79" s="58"/>
      <c r="AB79" s="58"/>
      <c r="AC79" s="58"/>
      <c r="AD79" s="58"/>
      <c r="AE79" t="s">
        <v>54</v>
      </c>
      <c r="AF79">
        <f>3*AF77</f>
        <v>0.30063973456614146</v>
      </c>
    </row>
    <row r="80" spans="2:38" x14ac:dyDescent="0.2">
      <c r="C80" s="61">
        <f t="shared" ref="C80:C85" si="22">S66</f>
        <v>47</v>
      </c>
      <c r="D80">
        <f>E66</f>
        <v>0.36399999999999999</v>
      </c>
      <c r="P80" s="60"/>
      <c r="Q80" s="62">
        <f>C80</f>
        <v>47</v>
      </c>
      <c r="R80">
        <f>D80-$D$75</f>
        <v>0.31969444444444445</v>
      </c>
      <c r="S80" s="60"/>
      <c r="Z80" s="60"/>
      <c r="AA80" s="62">
        <f>C80</f>
        <v>47</v>
      </c>
      <c r="AB80">
        <f>R80*100/$AF$76</f>
        <v>27.788106333148228</v>
      </c>
    </row>
    <row r="81" spans="3:28" x14ac:dyDescent="0.2">
      <c r="C81" s="61">
        <f t="shared" si="22"/>
        <v>48</v>
      </c>
      <c r="D81">
        <f t="shared" ref="D81:D85" si="23">E67</f>
        <v>0.51</v>
      </c>
      <c r="P81" s="60"/>
      <c r="Q81" s="62">
        <f t="shared" ref="Q81:Q121" si="24">C81</f>
        <v>48</v>
      </c>
      <c r="R81">
        <f t="shared" ref="R81:R121" si="25">D81-$D$75</f>
        <v>0.46569444444444447</v>
      </c>
      <c r="S81" s="60"/>
      <c r="Z81" s="60"/>
      <c r="AA81" s="62">
        <f t="shared" ref="AA81:AA121" si="26">C81</f>
        <v>48</v>
      </c>
      <c r="AB81">
        <f t="shared" ref="AB81:AB121" si="27">R81*100/$AF$76</f>
        <v>40.478547456358505</v>
      </c>
    </row>
    <row r="82" spans="3:28" x14ac:dyDescent="0.2">
      <c r="C82" s="61">
        <f t="shared" si="22"/>
        <v>49</v>
      </c>
      <c r="D82">
        <f t="shared" si="23"/>
        <v>0.67800000000000005</v>
      </c>
      <c r="P82" s="60"/>
      <c r="Q82" s="62">
        <f t="shared" si="24"/>
        <v>49</v>
      </c>
      <c r="R82">
        <f t="shared" si="25"/>
        <v>0.63369444444444445</v>
      </c>
      <c r="S82" s="60"/>
      <c r="Z82" s="60"/>
      <c r="AA82" s="62">
        <f t="shared" si="26"/>
        <v>49</v>
      </c>
      <c r="AB82">
        <f t="shared" si="27"/>
        <v>55.081246831011427</v>
      </c>
    </row>
    <row r="83" spans="3:28" x14ac:dyDescent="0.2">
      <c r="C83" s="61">
        <f t="shared" si="22"/>
        <v>50</v>
      </c>
      <c r="D83">
        <f>E69</f>
        <v>0.52</v>
      </c>
      <c r="P83" s="60"/>
      <c r="Q83" s="62">
        <f>C83</f>
        <v>50</v>
      </c>
      <c r="R83">
        <f>D83-$D$75</f>
        <v>0.47569444444444448</v>
      </c>
      <c r="S83" s="60"/>
      <c r="Z83" s="60"/>
      <c r="AA83" s="62">
        <f t="shared" si="26"/>
        <v>50</v>
      </c>
      <c r="AB83">
        <f>R83*100/$AF$76</f>
        <v>41.3477557524688</v>
      </c>
    </row>
    <row r="84" spans="3:28" x14ac:dyDescent="0.2">
      <c r="C84" s="61">
        <f t="shared" si="22"/>
        <v>51</v>
      </c>
      <c r="D84">
        <f t="shared" si="23"/>
        <v>7.4999999999999997E-2</v>
      </c>
      <c r="P84" s="60"/>
      <c r="Q84" s="62">
        <f t="shared" si="24"/>
        <v>51</v>
      </c>
      <c r="R84">
        <f>D84-$D$75</f>
        <v>3.0694444444444448E-2</v>
      </c>
      <c r="S84" s="60"/>
      <c r="Z84" s="60"/>
      <c r="AA84" s="62">
        <f t="shared" si="26"/>
        <v>51</v>
      </c>
      <c r="AB84">
        <f t="shared" si="27"/>
        <v>2.6679865755607604</v>
      </c>
    </row>
    <row r="85" spans="3:28" x14ac:dyDescent="0.2">
      <c r="C85" s="61">
        <f t="shared" si="22"/>
        <v>52</v>
      </c>
      <c r="D85">
        <f t="shared" si="23"/>
        <v>8.3000000000000004E-2</v>
      </c>
      <c r="P85" s="60"/>
      <c r="Q85" s="62">
        <f t="shared" si="24"/>
        <v>52</v>
      </c>
      <c r="R85">
        <f>D85-$D$75</f>
        <v>3.8694444444444455E-2</v>
      </c>
      <c r="S85" s="60"/>
      <c r="Z85" s="60"/>
      <c r="AA85" s="62">
        <f t="shared" si="26"/>
        <v>52</v>
      </c>
      <c r="AB85">
        <f t="shared" si="27"/>
        <v>3.3633532124489953</v>
      </c>
    </row>
    <row r="86" spans="3:28" x14ac:dyDescent="0.2">
      <c r="C86" s="61">
        <f t="shared" ref="C86:C91" si="28">T66</f>
        <v>53</v>
      </c>
      <c r="D86">
        <f t="shared" ref="D86:D91" si="29">F66</f>
        <v>7.5999999999999998E-2</v>
      </c>
      <c r="P86" s="60"/>
      <c r="Q86" s="62">
        <f t="shared" si="24"/>
        <v>53</v>
      </c>
      <c r="R86">
        <f t="shared" si="25"/>
        <v>3.1694444444444449E-2</v>
      </c>
      <c r="S86" s="60"/>
      <c r="Z86" s="60"/>
      <c r="AA86" s="62">
        <f t="shared" si="26"/>
        <v>53</v>
      </c>
      <c r="AB86">
        <f>R86*100/$AF$76</f>
        <v>2.7549074051717897</v>
      </c>
    </row>
    <row r="87" spans="3:28" x14ac:dyDescent="0.2">
      <c r="C87" s="61">
        <f t="shared" si="28"/>
        <v>54</v>
      </c>
      <c r="D87">
        <f t="shared" si="29"/>
        <v>0.126</v>
      </c>
      <c r="P87" s="60"/>
      <c r="Q87" s="62">
        <f t="shared" si="24"/>
        <v>54</v>
      </c>
      <c r="R87">
        <f t="shared" si="25"/>
        <v>8.1694444444444458E-2</v>
      </c>
      <c r="S87" s="60"/>
      <c r="Z87" s="60"/>
      <c r="AA87" s="62">
        <f t="shared" si="26"/>
        <v>54</v>
      </c>
      <c r="AB87">
        <f>R87*100/$AF$76</f>
        <v>7.1009488857232554</v>
      </c>
    </row>
    <row r="88" spans="3:28" x14ac:dyDescent="0.2">
      <c r="C88" s="61">
        <f t="shared" si="28"/>
        <v>55</v>
      </c>
      <c r="D88">
        <f t="shared" si="29"/>
        <v>0.79500000000000004</v>
      </c>
      <c r="P88" s="60"/>
      <c r="Q88" s="62">
        <f t="shared" si="24"/>
        <v>55</v>
      </c>
      <c r="R88">
        <f t="shared" si="25"/>
        <v>0.75069444444444444</v>
      </c>
      <c r="S88" s="60"/>
      <c r="Z88" s="60"/>
      <c r="AA88" s="62">
        <f t="shared" si="26"/>
        <v>55</v>
      </c>
      <c r="AB88">
        <f t="shared" si="27"/>
        <v>65.250983895501847</v>
      </c>
    </row>
    <row r="89" spans="3:28" x14ac:dyDescent="0.2">
      <c r="C89" s="61">
        <f t="shared" si="28"/>
        <v>56</v>
      </c>
      <c r="D89">
        <f t="shared" si="29"/>
        <v>0.80100000000000005</v>
      </c>
      <c r="P89" s="60"/>
      <c r="Q89" s="62">
        <f t="shared" si="24"/>
        <v>56</v>
      </c>
      <c r="R89">
        <f>D89-$D$75</f>
        <v>0.75669444444444445</v>
      </c>
      <c r="S89" s="60"/>
      <c r="Z89" s="60"/>
      <c r="AA89" s="62">
        <f t="shared" si="26"/>
        <v>56</v>
      </c>
      <c r="AB89">
        <f t="shared" si="27"/>
        <v>65.772508873168036</v>
      </c>
    </row>
    <row r="90" spans="3:28" x14ac:dyDescent="0.2">
      <c r="C90" s="61">
        <f t="shared" si="28"/>
        <v>57</v>
      </c>
      <c r="D90">
        <f t="shared" si="29"/>
        <v>0.63700000000000001</v>
      </c>
      <c r="P90" s="60"/>
      <c r="Q90" s="62">
        <f t="shared" si="24"/>
        <v>57</v>
      </c>
      <c r="R90">
        <f t="shared" si="25"/>
        <v>0.59269444444444441</v>
      </c>
      <c r="S90" s="60"/>
      <c r="Z90" s="60"/>
      <c r="AA90" s="62">
        <f t="shared" si="26"/>
        <v>57</v>
      </c>
      <c r="AB90">
        <f t="shared" si="27"/>
        <v>51.517492816959219</v>
      </c>
    </row>
    <row r="91" spans="3:28" x14ac:dyDescent="0.2">
      <c r="C91" s="61">
        <f t="shared" si="28"/>
        <v>58</v>
      </c>
      <c r="D91">
        <f t="shared" si="29"/>
        <v>0.98199999999999998</v>
      </c>
      <c r="P91" s="60"/>
      <c r="Q91" s="62">
        <f t="shared" si="24"/>
        <v>58</v>
      </c>
      <c r="R91">
        <f t="shared" si="25"/>
        <v>0.93769444444444439</v>
      </c>
      <c r="S91" s="60"/>
      <c r="Z91" s="60"/>
      <c r="AA91" s="62">
        <f t="shared" si="26"/>
        <v>58</v>
      </c>
      <c r="AB91">
        <f t="shared" si="27"/>
        <v>81.505179032764332</v>
      </c>
    </row>
    <row r="92" spans="3:28" x14ac:dyDescent="0.2">
      <c r="C92" s="61">
        <f t="shared" ref="C92:C97" si="30">U66</f>
        <v>59</v>
      </c>
      <c r="D92">
        <f t="shared" ref="D92:D97" si="31">G66</f>
        <v>0.55600000000000005</v>
      </c>
      <c r="P92" s="60"/>
      <c r="Q92" s="62">
        <f t="shared" si="24"/>
        <v>59</v>
      </c>
      <c r="R92">
        <f t="shared" si="25"/>
        <v>0.51169444444444445</v>
      </c>
      <c r="S92" s="60"/>
      <c r="Z92" s="60"/>
      <c r="AA92" s="62">
        <f t="shared" si="26"/>
        <v>59</v>
      </c>
      <c r="AB92">
        <f>R92*100/$AF$76</f>
        <v>44.47690561846585</v>
      </c>
    </row>
    <row r="93" spans="3:28" x14ac:dyDescent="0.2">
      <c r="C93" s="61">
        <f t="shared" si="30"/>
        <v>60</v>
      </c>
      <c r="D93">
        <f t="shared" si="31"/>
        <v>0.66</v>
      </c>
      <c r="P93" s="60"/>
      <c r="Q93" s="62">
        <f t="shared" si="24"/>
        <v>60</v>
      </c>
      <c r="R93">
        <f>D93-$D$75</f>
        <v>0.61569444444444443</v>
      </c>
      <c r="S93" s="60"/>
      <c r="Z93" s="60"/>
      <c r="AA93" s="62">
        <f t="shared" si="26"/>
        <v>60</v>
      </c>
      <c r="AB93">
        <f t="shared" si="27"/>
        <v>53.516671898012895</v>
      </c>
    </row>
    <row r="94" spans="3:28" x14ac:dyDescent="0.2">
      <c r="C94" s="61">
        <f t="shared" si="30"/>
        <v>61</v>
      </c>
      <c r="D94">
        <f t="shared" si="31"/>
        <v>0.47699999999999998</v>
      </c>
      <c r="P94" s="60"/>
      <c r="Q94" s="62">
        <f t="shared" si="24"/>
        <v>61</v>
      </c>
      <c r="R94">
        <f t="shared" si="25"/>
        <v>0.43269444444444444</v>
      </c>
      <c r="S94" s="60"/>
      <c r="Z94" s="60"/>
      <c r="AA94" s="62">
        <f t="shared" si="26"/>
        <v>61</v>
      </c>
      <c r="AB94">
        <f t="shared" si="27"/>
        <v>37.610160079194536</v>
      </c>
    </row>
    <row r="95" spans="3:28" x14ac:dyDescent="0.2">
      <c r="C95" s="61">
        <f t="shared" si="30"/>
        <v>62</v>
      </c>
      <c r="D95">
        <f t="shared" si="31"/>
        <v>0.70299999999999996</v>
      </c>
      <c r="P95" s="60"/>
      <c r="Q95" s="62">
        <f t="shared" si="24"/>
        <v>62</v>
      </c>
      <c r="R95">
        <f t="shared" si="25"/>
        <v>0.65869444444444436</v>
      </c>
      <c r="S95" s="60"/>
      <c r="Z95" s="60"/>
      <c r="AA95" s="62">
        <f t="shared" si="26"/>
        <v>62</v>
      </c>
      <c r="AB95">
        <f t="shared" si="27"/>
        <v>57.254267571287151</v>
      </c>
    </row>
    <row r="96" spans="3:28" x14ac:dyDescent="0.2">
      <c r="C96" s="61">
        <f t="shared" si="30"/>
        <v>63</v>
      </c>
      <c r="D96">
        <f t="shared" si="31"/>
        <v>0.45100000000000001</v>
      </c>
      <c r="P96" s="60"/>
      <c r="Q96" s="62">
        <f t="shared" si="24"/>
        <v>63</v>
      </c>
      <c r="R96">
        <f t="shared" si="25"/>
        <v>0.40669444444444447</v>
      </c>
      <c r="S96" s="60"/>
      <c r="Z96" s="60"/>
      <c r="AA96" s="62">
        <f t="shared" si="26"/>
        <v>63</v>
      </c>
      <c r="AB96">
        <f t="shared" si="27"/>
        <v>35.350218509307773</v>
      </c>
    </row>
    <row r="97" spans="3:28" x14ac:dyDescent="0.2">
      <c r="C97" s="61">
        <f t="shared" si="30"/>
        <v>64</v>
      </c>
      <c r="D97">
        <f t="shared" si="31"/>
        <v>0.48699999999999999</v>
      </c>
      <c r="P97" s="60"/>
      <c r="Q97" s="62">
        <f t="shared" si="24"/>
        <v>64</v>
      </c>
      <c r="R97">
        <f t="shared" si="25"/>
        <v>0.44269444444444445</v>
      </c>
      <c r="S97" s="60"/>
      <c r="Z97" s="60"/>
      <c r="AA97" s="62">
        <f t="shared" si="26"/>
        <v>64</v>
      </c>
      <c r="AB97">
        <f t="shared" si="27"/>
        <v>38.47936837530483</v>
      </c>
    </row>
    <row r="98" spans="3:28" x14ac:dyDescent="0.2">
      <c r="C98" s="61">
        <f t="shared" ref="C98:C103" si="32">W66</f>
        <v>65</v>
      </c>
      <c r="D98">
        <f t="shared" ref="D98:D103" si="33">I66</f>
        <v>0.36399999999999999</v>
      </c>
      <c r="P98" s="60"/>
      <c r="Q98" s="62">
        <f t="shared" si="24"/>
        <v>65</v>
      </c>
      <c r="R98">
        <f t="shared" si="25"/>
        <v>0.31969444444444445</v>
      </c>
      <c r="S98" s="60"/>
      <c r="Z98" s="60"/>
      <c r="AA98" s="62">
        <f t="shared" si="26"/>
        <v>65</v>
      </c>
      <c r="AB98">
        <f t="shared" si="27"/>
        <v>27.788106333148228</v>
      </c>
    </row>
    <row r="99" spans="3:28" x14ac:dyDescent="0.2">
      <c r="C99" s="61">
        <f t="shared" si="32"/>
        <v>66</v>
      </c>
      <c r="D99">
        <f t="shared" si="33"/>
        <v>0.312</v>
      </c>
      <c r="P99" s="60"/>
      <c r="Q99" s="62">
        <f t="shared" si="24"/>
        <v>66</v>
      </c>
      <c r="R99">
        <f t="shared" si="25"/>
        <v>0.26769444444444446</v>
      </c>
      <c r="S99" s="60"/>
      <c r="Z99" s="60"/>
      <c r="AA99" s="62">
        <f t="shared" si="26"/>
        <v>66</v>
      </c>
      <c r="AB99">
        <f t="shared" si="27"/>
        <v>23.268223193374705</v>
      </c>
    </row>
    <row r="100" spans="3:28" x14ac:dyDescent="0.2">
      <c r="C100" s="61">
        <f t="shared" si="32"/>
        <v>67</v>
      </c>
      <c r="D100">
        <f t="shared" si="33"/>
        <v>0.97399999999999998</v>
      </c>
      <c r="P100" s="60"/>
      <c r="Q100" s="62">
        <f t="shared" si="24"/>
        <v>67</v>
      </c>
      <c r="R100">
        <f t="shared" si="25"/>
        <v>0.92969444444444438</v>
      </c>
      <c r="S100" s="60"/>
      <c r="Z100" s="60"/>
      <c r="AA100" s="62">
        <f t="shared" si="26"/>
        <v>67</v>
      </c>
      <c r="AB100">
        <f t="shared" si="27"/>
        <v>80.809812395876094</v>
      </c>
    </row>
    <row r="101" spans="3:28" x14ac:dyDescent="0.2">
      <c r="C101" s="61">
        <f t="shared" si="32"/>
        <v>68</v>
      </c>
      <c r="D101">
        <f t="shared" si="33"/>
        <v>1.0229999999999999</v>
      </c>
      <c r="P101" s="60"/>
      <c r="Q101" s="62">
        <f t="shared" si="24"/>
        <v>68</v>
      </c>
      <c r="R101">
        <f t="shared" si="25"/>
        <v>0.97869444444444431</v>
      </c>
      <c r="S101" s="60"/>
      <c r="Z101" s="60"/>
      <c r="AA101" s="62">
        <f t="shared" si="26"/>
        <v>68</v>
      </c>
      <c r="AB101">
        <f t="shared" si="27"/>
        <v>85.068933046816511</v>
      </c>
    </row>
    <row r="102" spans="3:28" x14ac:dyDescent="0.2">
      <c r="C102" s="61">
        <f t="shared" si="32"/>
        <v>69</v>
      </c>
      <c r="D102">
        <f t="shared" si="33"/>
        <v>1.0389999999999999</v>
      </c>
      <c r="P102" s="60"/>
      <c r="Q102" s="62">
        <f t="shared" si="24"/>
        <v>69</v>
      </c>
      <c r="R102">
        <f t="shared" si="25"/>
        <v>0.99469444444444433</v>
      </c>
      <c r="S102" s="60"/>
      <c r="Z102" s="60"/>
      <c r="AA102" s="62">
        <f t="shared" si="26"/>
        <v>69</v>
      </c>
      <c r="AB102">
        <f t="shared" si="27"/>
        <v>86.459666320592987</v>
      </c>
    </row>
    <row r="103" spans="3:28" x14ac:dyDescent="0.2">
      <c r="C103" s="61">
        <f t="shared" si="32"/>
        <v>70</v>
      </c>
      <c r="D103">
        <f t="shared" si="33"/>
        <v>0.97499999999999998</v>
      </c>
      <c r="P103" s="60"/>
      <c r="Q103" s="62">
        <f t="shared" si="24"/>
        <v>70</v>
      </c>
      <c r="R103">
        <f t="shared" si="25"/>
        <v>0.93069444444444438</v>
      </c>
      <c r="S103" s="60"/>
      <c r="Z103" s="60"/>
      <c r="AA103" s="62">
        <f t="shared" si="26"/>
        <v>70</v>
      </c>
      <c r="AB103">
        <f t="shared" si="27"/>
        <v>80.896733225487125</v>
      </c>
    </row>
    <row r="104" spans="3:28" x14ac:dyDescent="0.2">
      <c r="C104" s="61">
        <f t="shared" ref="C104:C109" si="34">X66</f>
        <v>71</v>
      </c>
      <c r="D104">
        <f t="shared" ref="D104:D109" si="35">J66</f>
        <v>4.9000000000000002E-2</v>
      </c>
      <c r="P104" s="60"/>
      <c r="Q104" s="62">
        <f t="shared" si="24"/>
        <v>71</v>
      </c>
      <c r="R104">
        <f t="shared" si="25"/>
        <v>4.6944444444444525E-3</v>
      </c>
      <c r="S104" s="60"/>
      <c r="Z104" s="60"/>
      <c r="AA104" s="62">
        <f t="shared" si="26"/>
        <v>71</v>
      </c>
      <c r="AB104">
        <f t="shared" si="27"/>
        <v>0.40804500567399932</v>
      </c>
    </row>
    <row r="105" spans="3:28" x14ac:dyDescent="0.2">
      <c r="C105" s="61">
        <f t="shared" si="34"/>
        <v>72</v>
      </c>
      <c r="D105">
        <f t="shared" si="35"/>
        <v>8.8999999999999996E-2</v>
      </c>
      <c r="P105" s="60"/>
      <c r="Q105" s="62">
        <f t="shared" si="24"/>
        <v>72</v>
      </c>
      <c r="R105">
        <f t="shared" si="25"/>
        <v>4.4694444444444446E-2</v>
      </c>
      <c r="S105" s="60"/>
      <c r="Z105" s="60"/>
      <c r="AA105" s="62">
        <f t="shared" si="26"/>
        <v>72</v>
      </c>
      <c r="AB105">
        <f t="shared" si="27"/>
        <v>3.8848781901151708</v>
      </c>
    </row>
    <row r="106" spans="3:28" x14ac:dyDescent="0.2">
      <c r="C106" s="61">
        <f t="shared" si="34"/>
        <v>73</v>
      </c>
      <c r="D106">
        <f t="shared" si="35"/>
        <v>0.06</v>
      </c>
      <c r="P106" s="60"/>
      <c r="Q106" s="62">
        <f t="shared" si="24"/>
        <v>73</v>
      </c>
      <c r="R106">
        <f t="shared" si="25"/>
        <v>1.5694444444444448E-2</v>
      </c>
      <c r="S106" s="60"/>
      <c r="Z106" s="60"/>
      <c r="AA106" s="62">
        <f t="shared" si="26"/>
        <v>73</v>
      </c>
      <c r="AB106">
        <f t="shared" si="27"/>
        <v>1.3641741313953213</v>
      </c>
    </row>
    <row r="107" spans="3:28" x14ac:dyDescent="0.2">
      <c r="C107" s="61">
        <f t="shared" si="34"/>
        <v>74</v>
      </c>
      <c r="D107">
        <f t="shared" si="35"/>
        <v>8.3000000000000004E-2</v>
      </c>
      <c r="P107" s="60"/>
      <c r="Q107" s="62">
        <f t="shared" si="24"/>
        <v>74</v>
      </c>
      <c r="R107">
        <f t="shared" si="25"/>
        <v>3.8694444444444455E-2</v>
      </c>
      <c r="S107" s="60"/>
      <c r="Z107" s="60"/>
      <c r="AA107" s="62">
        <f t="shared" si="26"/>
        <v>74</v>
      </c>
      <c r="AB107">
        <f t="shared" si="27"/>
        <v>3.3633532124489953</v>
      </c>
    </row>
    <row r="108" spans="3:28" x14ac:dyDescent="0.2">
      <c r="C108" s="61">
        <f t="shared" si="34"/>
        <v>75</v>
      </c>
      <c r="D108">
        <f t="shared" si="35"/>
        <v>0.36799999999999999</v>
      </c>
      <c r="P108" s="60"/>
      <c r="Q108" s="62">
        <f t="shared" si="24"/>
        <v>75</v>
      </c>
      <c r="R108">
        <f t="shared" si="25"/>
        <v>0.32369444444444445</v>
      </c>
      <c r="S108" s="60"/>
      <c r="Z108" s="60"/>
      <c r="AA108" s="62">
        <f t="shared" si="26"/>
        <v>75</v>
      </c>
      <c r="AB108">
        <f t="shared" si="27"/>
        <v>28.135789651592347</v>
      </c>
    </row>
    <row r="109" spans="3:28" x14ac:dyDescent="0.2">
      <c r="C109" s="61">
        <f t="shared" si="34"/>
        <v>76</v>
      </c>
      <c r="D109">
        <f t="shared" si="35"/>
        <v>0.54400000000000004</v>
      </c>
      <c r="P109" s="60"/>
      <c r="Q109" s="62">
        <f t="shared" si="24"/>
        <v>76</v>
      </c>
      <c r="R109">
        <f t="shared" si="25"/>
        <v>0.4996944444444445</v>
      </c>
      <c r="S109" s="60"/>
      <c r="Z109" s="60"/>
      <c r="AA109" s="62">
        <f t="shared" si="26"/>
        <v>76</v>
      </c>
      <c r="AB109">
        <f t="shared" si="27"/>
        <v>43.433855663133507</v>
      </c>
    </row>
    <row r="110" spans="3:28" x14ac:dyDescent="0.2">
      <c r="C110" s="61">
        <f t="shared" ref="C110:C115" si="36">Y66</f>
        <v>77</v>
      </c>
      <c r="D110">
        <f t="shared" ref="D110:D115" si="37">K66</f>
        <v>0.442</v>
      </c>
      <c r="P110" s="60"/>
      <c r="Q110" s="62">
        <f t="shared" si="24"/>
        <v>77</v>
      </c>
      <c r="R110">
        <f t="shared" si="25"/>
        <v>0.39769444444444446</v>
      </c>
      <c r="S110" s="60"/>
      <c r="Z110" s="60"/>
      <c r="AA110" s="62">
        <f t="shared" si="26"/>
        <v>77</v>
      </c>
      <c r="AB110">
        <f t="shared" si="27"/>
        <v>34.56793104280851</v>
      </c>
    </row>
    <row r="111" spans="3:28" x14ac:dyDescent="0.2">
      <c r="C111" s="61">
        <f t="shared" si="36"/>
        <v>78</v>
      </c>
      <c r="D111">
        <f t="shared" si="37"/>
        <v>0.23400000000000001</v>
      </c>
      <c r="P111" s="60"/>
      <c r="Q111" s="62">
        <f t="shared" si="24"/>
        <v>78</v>
      </c>
      <c r="R111">
        <f t="shared" si="25"/>
        <v>0.18969444444444447</v>
      </c>
      <c r="S111" s="60"/>
      <c r="Z111" s="60"/>
      <c r="AA111" s="62">
        <f t="shared" si="26"/>
        <v>78</v>
      </c>
      <c r="AB111">
        <f t="shared" si="27"/>
        <v>16.488398483714423</v>
      </c>
    </row>
    <row r="112" spans="3:28" x14ac:dyDescent="0.2">
      <c r="C112" s="61">
        <f t="shared" si="36"/>
        <v>79</v>
      </c>
      <c r="D112">
        <f t="shared" si="37"/>
        <v>0.60799999999999998</v>
      </c>
      <c r="P112" s="60"/>
      <c r="Q112" s="62">
        <f t="shared" si="24"/>
        <v>79</v>
      </c>
      <c r="R112">
        <f t="shared" si="25"/>
        <v>0.56369444444444439</v>
      </c>
      <c r="S112" s="60"/>
      <c r="Z112" s="60"/>
      <c r="AA112" s="62">
        <f t="shared" si="26"/>
        <v>79</v>
      </c>
      <c r="AB112">
        <f t="shared" si="27"/>
        <v>48.996788758239369</v>
      </c>
    </row>
    <row r="113" spans="2:28" x14ac:dyDescent="0.2">
      <c r="C113" s="61">
        <f t="shared" si="36"/>
        <v>80</v>
      </c>
      <c r="D113">
        <f t="shared" si="37"/>
        <v>0.751</v>
      </c>
      <c r="P113" s="60"/>
      <c r="Q113" s="62">
        <f t="shared" si="24"/>
        <v>80</v>
      </c>
      <c r="R113">
        <f t="shared" si="25"/>
        <v>0.7066944444444444</v>
      </c>
      <c r="S113" s="60"/>
      <c r="Z113" s="60"/>
      <c r="AA113" s="62">
        <f t="shared" si="26"/>
        <v>80</v>
      </c>
      <c r="AB113">
        <f t="shared" si="27"/>
        <v>61.426467392616559</v>
      </c>
    </row>
    <row r="114" spans="2:28" x14ac:dyDescent="0.2">
      <c r="C114" s="61">
        <f t="shared" si="36"/>
        <v>81</v>
      </c>
      <c r="D114">
        <f t="shared" si="37"/>
        <v>0.66300000000000003</v>
      </c>
      <c r="P114" s="60"/>
      <c r="Q114" s="62">
        <f t="shared" si="24"/>
        <v>81</v>
      </c>
      <c r="R114">
        <f t="shared" si="25"/>
        <v>0.61869444444444444</v>
      </c>
      <c r="S114" s="60"/>
      <c r="Z114" s="60"/>
      <c r="AA114" s="62">
        <f t="shared" si="26"/>
        <v>81</v>
      </c>
      <c r="AB114">
        <f t="shared" si="27"/>
        <v>53.777434386845982</v>
      </c>
    </row>
    <row r="115" spans="2:28" x14ac:dyDescent="0.2">
      <c r="C115" s="61">
        <f t="shared" si="36"/>
        <v>82</v>
      </c>
      <c r="D115">
        <f t="shared" si="37"/>
        <v>0.73399999999999999</v>
      </c>
      <c r="P115" s="60"/>
      <c r="Q115" s="62">
        <f t="shared" si="24"/>
        <v>82</v>
      </c>
      <c r="R115">
        <f t="shared" si="25"/>
        <v>0.68969444444444439</v>
      </c>
      <c r="S115" s="60"/>
      <c r="Z115" s="60"/>
      <c r="AA115" s="62">
        <f t="shared" si="26"/>
        <v>82</v>
      </c>
      <c r="AB115">
        <f t="shared" si="27"/>
        <v>59.948813289229058</v>
      </c>
    </row>
    <row r="116" spans="2:28" x14ac:dyDescent="0.2">
      <c r="C116" s="61">
        <f t="shared" ref="C116:C121" si="38">AA66</f>
        <v>83</v>
      </c>
      <c r="D116">
        <f t="shared" ref="D116:D121" si="39">M66</f>
        <v>0.126</v>
      </c>
      <c r="P116" s="60"/>
      <c r="Q116" s="62">
        <f t="shared" si="24"/>
        <v>83</v>
      </c>
      <c r="R116">
        <f t="shared" si="25"/>
        <v>8.1694444444444458E-2</v>
      </c>
      <c r="S116" s="60"/>
      <c r="Z116" s="60"/>
      <c r="AA116" s="62">
        <f t="shared" si="26"/>
        <v>83</v>
      </c>
      <c r="AB116">
        <f t="shared" si="27"/>
        <v>7.1009488857232554</v>
      </c>
    </row>
    <row r="117" spans="2:28" x14ac:dyDescent="0.2">
      <c r="C117" s="61">
        <f t="shared" si="38"/>
        <v>84</v>
      </c>
      <c r="D117">
        <f t="shared" si="39"/>
        <v>0.189</v>
      </c>
      <c r="P117" s="60"/>
      <c r="Q117" s="62">
        <f t="shared" si="24"/>
        <v>84</v>
      </c>
      <c r="R117">
        <f t="shared" si="25"/>
        <v>0.14469444444444446</v>
      </c>
      <c r="Z117" s="60"/>
      <c r="AA117" s="62">
        <f t="shared" si="26"/>
        <v>84</v>
      </c>
      <c r="AB117">
        <f t="shared" si="27"/>
        <v>12.5769611512181</v>
      </c>
    </row>
    <row r="118" spans="2:28" x14ac:dyDescent="0.2">
      <c r="C118" s="61">
        <f t="shared" si="38"/>
        <v>85</v>
      </c>
      <c r="D118">
        <f t="shared" si="39"/>
        <v>0.311</v>
      </c>
      <c r="P118" s="60"/>
      <c r="Q118" s="62">
        <f t="shared" si="24"/>
        <v>85</v>
      </c>
      <c r="R118">
        <f>D118-$D$75</f>
        <v>0.26669444444444446</v>
      </c>
      <c r="S118" s="58"/>
      <c r="Z118" s="60"/>
      <c r="AA118" s="62">
        <f t="shared" si="26"/>
        <v>85</v>
      </c>
      <c r="AB118">
        <f t="shared" si="27"/>
        <v>23.181302363763674</v>
      </c>
    </row>
    <row r="119" spans="2:28" x14ac:dyDescent="0.2">
      <c r="C119" s="61">
        <f t="shared" si="38"/>
        <v>86</v>
      </c>
      <c r="D119">
        <f t="shared" si="39"/>
        <v>0.39900000000000002</v>
      </c>
      <c r="P119" s="60"/>
      <c r="Q119" s="62">
        <f t="shared" si="24"/>
        <v>86</v>
      </c>
      <c r="R119">
        <f t="shared" si="25"/>
        <v>0.35469444444444448</v>
      </c>
      <c r="Z119" s="60"/>
      <c r="AA119" s="62">
        <f t="shared" si="26"/>
        <v>86</v>
      </c>
      <c r="AB119">
        <f t="shared" si="27"/>
        <v>30.830335369534257</v>
      </c>
    </row>
    <row r="120" spans="2:28" x14ac:dyDescent="0.2">
      <c r="C120" s="61">
        <f t="shared" si="38"/>
        <v>87</v>
      </c>
      <c r="D120">
        <f t="shared" si="39"/>
        <v>0.78100000000000003</v>
      </c>
      <c r="P120" s="60"/>
      <c r="Q120" s="62">
        <f t="shared" si="24"/>
        <v>87</v>
      </c>
      <c r="R120">
        <f t="shared" si="25"/>
        <v>0.73669444444444443</v>
      </c>
      <c r="Z120" s="60"/>
      <c r="AA120" s="62">
        <f t="shared" si="26"/>
        <v>87</v>
      </c>
      <c r="AB120">
        <f t="shared" si="27"/>
        <v>64.034092280947434</v>
      </c>
    </row>
    <row r="121" spans="2:28" x14ac:dyDescent="0.2">
      <c r="C121" s="61">
        <f t="shared" si="38"/>
        <v>88</v>
      </c>
      <c r="D121">
        <f t="shared" si="39"/>
        <v>0.76600000000000001</v>
      </c>
      <c r="P121" s="60"/>
      <c r="Q121" s="62">
        <f t="shared" si="24"/>
        <v>88</v>
      </c>
      <c r="R121">
        <f t="shared" si="25"/>
        <v>0.72169444444444442</v>
      </c>
      <c r="Z121" s="60"/>
      <c r="AA121" s="62">
        <f t="shared" si="26"/>
        <v>88</v>
      </c>
      <c r="AB121">
        <f t="shared" si="27"/>
        <v>62.730279836781996</v>
      </c>
    </row>
    <row r="124" spans="2:28" x14ac:dyDescent="0.2">
      <c r="B124" s="7" t="s">
        <v>86</v>
      </c>
      <c r="C124" s="40">
        <v>45385</v>
      </c>
      <c r="D124" s="7" t="s">
        <v>16</v>
      </c>
      <c r="E124" s="41"/>
    </row>
    <row r="125" spans="2:28" x14ac:dyDescent="0.2">
      <c r="B125" s="42"/>
      <c r="C125" s="42">
        <v>1</v>
      </c>
      <c r="D125" s="42">
        <v>2</v>
      </c>
      <c r="E125" s="42">
        <v>3</v>
      </c>
      <c r="F125" s="42">
        <v>4</v>
      </c>
      <c r="G125" s="42">
        <v>5</v>
      </c>
      <c r="H125" s="42">
        <v>6</v>
      </c>
      <c r="I125" s="42">
        <v>7</v>
      </c>
      <c r="J125" s="42">
        <v>8</v>
      </c>
      <c r="K125" s="42">
        <v>9</v>
      </c>
      <c r="L125" s="42">
        <v>10</v>
      </c>
      <c r="M125" s="42">
        <v>11</v>
      </c>
      <c r="N125" s="42">
        <v>12</v>
      </c>
      <c r="Q125" s="1">
        <v>1</v>
      </c>
      <c r="R125" s="1">
        <v>2</v>
      </c>
      <c r="S125" s="1">
        <v>3</v>
      </c>
      <c r="T125" s="1">
        <v>4</v>
      </c>
      <c r="U125" s="1">
        <v>5</v>
      </c>
      <c r="V125" s="1">
        <v>6</v>
      </c>
      <c r="W125" s="1">
        <v>7</v>
      </c>
      <c r="X125" s="1">
        <v>8</v>
      </c>
      <c r="Y125" s="1">
        <v>9</v>
      </c>
      <c r="Z125" s="1">
        <v>10</v>
      </c>
      <c r="AA125" s="1">
        <v>11</v>
      </c>
      <c r="AB125" s="1">
        <v>12</v>
      </c>
    </row>
    <row r="126" spans="2:28" x14ac:dyDescent="0.2">
      <c r="B126" s="43" t="s">
        <v>0</v>
      </c>
      <c r="C126" s="44">
        <v>4.2999999999999997E-2</v>
      </c>
      <c r="D126" s="44">
        <v>4.3999999999999997E-2</v>
      </c>
      <c r="E126" s="44">
        <v>4.2999999999999997E-2</v>
      </c>
      <c r="F126" s="44">
        <v>4.5999999999999999E-2</v>
      </c>
      <c r="G126" s="44">
        <v>4.2000000000000003E-2</v>
      </c>
      <c r="H126" s="44">
        <v>4.2999999999999997E-2</v>
      </c>
      <c r="I126" s="44">
        <v>4.2000000000000003E-2</v>
      </c>
      <c r="J126" s="44">
        <v>4.1000000000000002E-2</v>
      </c>
      <c r="K126" s="44">
        <v>4.2000000000000003E-2</v>
      </c>
      <c r="L126" s="44">
        <v>4.2999999999999997E-2</v>
      </c>
      <c r="M126" s="44">
        <v>4.2000000000000003E-2</v>
      </c>
      <c r="N126" s="44">
        <v>4.2999999999999997E-2</v>
      </c>
      <c r="O126" s="18">
        <v>570</v>
      </c>
      <c r="P126" s="1" t="s">
        <v>0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2:28" x14ac:dyDescent="0.2">
      <c r="B127" s="43" t="s">
        <v>1</v>
      </c>
      <c r="C127" s="44">
        <v>4.2999999999999997E-2</v>
      </c>
      <c r="D127" s="45">
        <v>1.0840000000000001</v>
      </c>
      <c r="E127" s="50">
        <v>0.35399999999999998</v>
      </c>
      <c r="F127" s="44">
        <v>6.2E-2</v>
      </c>
      <c r="G127" s="51">
        <v>0.45100000000000001</v>
      </c>
      <c r="H127" s="54">
        <v>1.1579999999999999</v>
      </c>
      <c r="I127" s="51">
        <v>0.41099999999999998</v>
      </c>
      <c r="J127" s="44">
        <v>5.0999999999999997E-2</v>
      </c>
      <c r="K127" s="51">
        <v>0.435</v>
      </c>
      <c r="L127" s="45">
        <v>1.0569999999999999</v>
      </c>
      <c r="M127" s="44">
        <v>0.114</v>
      </c>
      <c r="N127" s="44">
        <v>4.2000000000000003E-2</v>
      </c>
      <c r="O127" s="18">
        <v>570</v>
      </c>
      <c r="P127" s="1" t="s">
        <v>1</v>
      </c>
      <c r="Q127" s="2"/>
      <c r="R127" s="3" t="s">
        <v>2</v>
      </c>
      <c r="S127" s="4">
        <v>47</v>
      </c>
      <c r="T127" s="4">
        <v>53</v>
      </c>
      <c r="U127" s="4">
        <v>59</v>
      </c>
      <c r="V127" s="3" t="s">
        <v>2</v>
      </c>
      <c r="W127" s="4">
        <v>65</v>
      </c>
      <c r="X127" s="4">
        <v>71</v>
      </c>
      <c r="Y127" s="4">
        <v>77</v>
      </c>
      <c r="Z127" s="3" t="s">
        <v>2</v>
      </c>
      <c r="AA127" s="4">
        <v>83</v>
      </c>
      <c r="AB127" s="5"/>
    </row>
    <row r="128" spans="2:28" x14ac:dyDescent="0.2">
      <c r="B128" s="43" t="s">
        <v>3</v>
      </c>
      <c r="C128" s="44">
        <v>4.2000000000000003E-2</v>
      </c>
      <c r="D128" s="44">
        <v>0.10199999999999999</v>
      </c>
      <c r="E128" s="52">
        <v>0.48399999999999999</v>
      </c>
      <c r="F128" s="47">
        <v>0.14199999999999999</v>
      </c>
      <c r="G128" s="46">
        <v>0.621</v>
      </c>
      <c r="H128" s="44">
        <v>6.3E-2</v>
      </c>
      <c r="I128" s="50">
        <v>0.33200000000000002</v>
      </c>
      <c r="J128" s="44">
        <v>8.4000000000000005E-2</v>
      </c>
      <c r="K128" s="48">
        <v>0.22600000000000001</v>
      </c>
      <c r="L128" s="44">
        <v>7.1999999999999995E-2</v>
      </c>
      <c r="M128" s="47">
        <v>0.186</v>
      </c>
      <c r="N128" s="44">
        <v>4.3999999999999997E-2</v>
      </c>
      <c r="O128" s="18">
        <v>570</v>
      </c>
      <c r="P128" s="1" t="s">
        <v>3</v>
      </c>
      <c r="Q128" s="2"/>
      <c r="R128" s="6" t="s">
        <v>4</v>
      </c>
      <c r="S128" s="4">
        <v>48</v>
      </c>
      <c r="T128" s="4">
        <v>54</v>
      </c>
      <c r="U128" s="4">
        <v>60</v>
      </c>
      <c r="V128" s="6" t="s">
        <v>4</v>
      </c>
      <c r="W128" s="4">
        <v>66</v>
      </c>
      <c r="X128" s="4">
        <v>72</v>
      </c>
      <c r="Y128" s="4">
        <v>78</v>
      </c>
      <c r="Z128" s="6" t="s">
        <v>4</v>
      </c>
      <c r="AA128" s="4">
        <v>84</v>
      </c>
      <c r="AB128" s="5"/>
    </row>
    <row r="129" spans="2:38" x14ac:dyDescent="0.2">
      <c r="B129" s="43" t="s">
        <v>5</v>
      </c>
      <c r="C129" s="44">
        <v>4.2999999999999997E-2</v>
      </c>
      <c r="D129" s="45">
        <v>1.0329999999999999</v>
      </c>
      <c r="E129" s="46">
        <v>0.64500000000000002</v>
      </c>
      <c r="F129" s="56">
        <v>0.71899999999999997</v>
      </c>
      <c r="G129" s="50">
        <v>0.32400000000000001</v>
      </c>
      <c r="H129" s="54">
        <v>1.1970000000000001</v>
      </c>
      <c r="I129" s="56">
        <v>0.77600000000000002</v>
      </c>
      <c r="J129" s="44">
        <v>8.8999999999999996E-2</v>
      </c>
      <c r="K129" s="52">
        <v>0.53600000000000003</v>
      </c>
      <c r="L129" s="45">
        <v>1.095</v>
      </c>
      <c r="M129" s="48">
        <v>0.28399999999999997</v>
      </c>
      <c r="N129" s="44">
        <v>4.2999999999999997E-2</v>
      </c>
      <c r="O129" s="18">
        <v>570</v>
      </c>
      <c r="P129" s="1" t="s">
        <v>5</v>
      </c>
      <c r="Q129" s="2"/>
      <c r="R129" s="3" t="s">
        <v>2</v>
      </c>
      <c r="S129" s="4">
        <v>49</v>
      </c>
      <c r="T129" s="4">
        <v>55</v>
      </c>
      <c r="U129" s="4">
        <v>61</v>
      </c>
      <c r="V129" s="3" t="s">
        <v>2</v>
      </c>
      <c r="W129" s="4">
        <v>67</v>
      </c>
      <c r="X129" s="4">
        <v>73</v>
      </c>
      <c r="Y129" s="4">
        <v>79</v>
      </c>
      <c r="Z129" s="3" t="s">
        <v>2</v>
      </c>
      <c r="AA129" s="4">
        <v>85</v>
      </c>
      <c r="AB129" s="5"/>
    </row>
    <row r="130" spans="2:38" x14ac:dyDescent="0.2">
      <c r="B130" s="43" t="s">
        <v>6</v>
      </c>
      <c r="C130" s="44">
        <v>4.3999999999999997E-2</v>
      </c>
      <c r="D130" s="44">
        <v>5.7000000000000002E-2</v>
      </c>
      <c r="E130" s="53">
        <v>0.58799999999999997</v>
      </c>
      <c r="F130" s="56">
        <v>0.77800000000000002</v>
      </c>
      <c r="G130" s="46">
        <v>0.65400000000000003</v>
      </c>
      <c r="H130" s="44">
        <v>5.3999999999999999E-2</v>
      </c>
      <c r="I130" s="49">
        <v>0.97799999999999998</v>
      </c>
      <c r="J130" s="44">
        <v>7.4999999999999997E-2</v>
      </c>
      <c r="K130" s="46">
        <v>0.67</v>
      </c>
      <c r="L130" s="44">
        <v>5.1999999999999998E-2</v>
      </c>
      <c r="M130" s="50">
        <v>0.29399999999999998</v>
      </c>
      <c r="N130" s="44">
        <v>4.2999999999999997E-2</v>
      </c>
      <c r="O130" s="18">
        <v>570</v>
      </c>
      <c r="P130" s="1" t="s">
        <v>6</v>
      </c>
      <c r="Q130" s="2"/>
      <c r="R130" s="6" t="s">
        <v>4</v>
      </c>
      <c r="S130" s="4">
        <v>50</v>
      </c>
      <c r="T130" s="4">
        <v>56</v>
      </c>
      <c r="U130" s="4">
        <v>62</v>
      </c>
      <c r="V130" s="6" t="s">
        <v>4</v>
      </c>
      <c r="W130" s="4">
        <v>68</v>
      </c>
      <c r="X130" s="4">
        <v>74</v>
      </c>
      <c r="Y130" s="4">
        <v>80</v>
      </c>
      <c r="Z130" s="6" t="s">
        <v>4</v>
      </c>
      <c r="AA130" s="4">
        <v>86</v>
      </c>
      <c r="AB130" s="5"/>
    </row>
    <row r="131" spans="2:38" x14ac:dyDescent="0.2">
      <c r="B131" s="43" t="s">
        <v>7</v>
      </c>
      <c r="C131" s="44">
        <v>4.2000000000000003E-2</v>
      </c>
      <c r="D131" s="45">
        <v>1.0940000000000001</v>
      </c>
      <c r="E131" s="44">
        <v>7.2999999999999995E-2</v>
      </c>
      <c r="F131" s="46">
        <v>0.68400000000000005</v>
      </c>
      <c r="G131" s="51">
        <v>0.45400000000000001</v>
      </c>
      <c r="H131" s="54">
        <v>1.198</v>
      </c>
      <c r="I131" s="49">
        <v>1.024</v>
      </c>
      <c r="J131" s="47">
        <v>0.17399999999999999</v>
      </c>
      <c r="K131" s="46">
        <v>0.66</v>
      </c>
      <c r="L131" s="45">
        <v>1.0920000000000001</v>
      </c>
      <c r="M131" s="56">
        <v>0.70299999999999996</v>
      </c>
      <c r="N131" s="44">
        <v>4.2999999999999997E-2</v>
      </c>
      <c r="O131" s="18">
        <v>570</v>
      </c>
      <c r="P131" s="1" t="s">
        <v>7</v>
      </c>
      <c r="Q131" s="2"/>
      <c r="R131" s="3" t="s">
        <v>2</v>
      </c>
      <c r="S131" s="4">
        <v>51</v>
      </c>
      <c r="T131" s="4">
        <v>57</v>
      </c>
      <c r="U131" s="4">
        <v>63</v>
      </c>
      <c r="V131" s="3" t="s">
        <v>2</v>
      </c>
      <c r="W131" s="4">
        <v>69</v>
      </c>
      <c r="X131" s="4">
        <v>75</v>
      </c>
      <c r="Y131" s="4">
        <v>81</v>
      </c>
      <c r="Z131" s="3" t="s">
        <v>2</v>
      </c>
      <c r="AA131" s="4">
        <v>87</v>
      </c>
      <c r="AB131" s="5"/>
    </row>
    <row r="132" spans="2:38" x14ac:dyDescent="0.2">
      <c r="B132" s="43" t="s">
        <v>8</v>
      </c>
      <c r="C132" s="44">
        <v>0.05</v>
      </c>
      <c r="D132" s="44">
        <v>7.0999999999999994E-2</v>
      </c>
      <c r="E132" s="44">
        <v>9.1999999999999998E-2</v>
      </c>
      <c r="F132" s="67">
        <v>0.93100000000000005</v>
      </c>
      <c r="G132" s="51">
        <v>0.45</v>
      </c>
      <c r="H132" s="44">
        <v>5.7000000000000002E-2</v>
      </c>
      <c r="I132" s="45">
        <v>1.0940000000000001</v>
      </c>
      <c r="J132" s="53">
        <v>0.58699999999999997</v>
      </c>
      <c r="K132" s="56">
        <v>0.73599999999999999</v>
      </c>
      <c r="L132" s="44">
        <v>5.1999999999999998E-2</v>
      </c>
      <c r="M132" s="56">
        <v>0.77700000000000002</v>
      </c>
      <c r="N132" s="44">
        <v>4.2999999999999997E-2</v>
      </c>
      <c r="O132" s="18">
        <v>570</v>
      </c>
      <c r="P132" s="1" t="s">
        <v>8</v>
      </c>
      <c r="Q132" s="2"/>
      <c r="R132" s="6" t="s">
        <v>4</v>
      </c>
      <c r="S132" s="4">
        <v>52</v>
      </c>
      <c r="T132" s="4">
        <v>58</v>
      </c>
      <c r="U132" s="4">
        <v>64</v>
      </c>
      <c r="V132" s="6" t="s">
        <v>4</v>
      </c>
      <c r="W132" s="4">
        <v>70</v>
      </c>
      <c r="X132" s="4">
        <v>76</v>
      </c>
      <c r="Y132" s="4">
        <v>82</v>
      </c>
      <c r="Z132" s="6" t="s">
        <v>4</v>
      </c>
      <c r="AA132" s="4">
        <v>88</v>
      </c>
      <c r="AB132" s="5"/>
    </row>
    <row r="133" spans="2:38" x14ac:dyDescent="0.2">
      <c r="B133" s="43" t="s">
        <v>9</v>
      </c>
      <c r="C133" s="44">
        <v>4.2999999999999997E-2</v>
      </c>
      <c r="D133" s="44">
        <v>4.2000000000000003E-2</v>
      </c>
      <c r="E133" s="44">
        <v>4.2999999999999997E-2</v>
      </c>
      <c r="F133" s="44">
        <v>4.2999999999999997E-2</v>
      </c>
      <c r="G133" s="44">
        <v>4.2999999999999997E-2</v>
      </c>
      <c r="H133" s="44">
        <v>4.2999999999999997E-2</v>
      </c>
      <c r="I133" s="44">
        <v>4.2999999999999997E-2</v>
      </c>
      <c r="J133" s="44">
        <v>4.7E-2</v>
      </c>
      <c r="K133" s="44">
        <v>4.2999999999999997E-2</v>
      </c>
      <c r="L133" s="44">
        <v>4.2999999999999997E-2</v>
      </c>
      <c r="M133" s="44">
        <v>4.3999999999999997E-2</v>
      </c>
      <c r="N133" s="44">
        <v>4.2000000000000003E-2</v>
      </c>
      <c r="O133" s="18">
        <v>570</v>
      </c>
      <c r="P133" s="1" t="s">
        <v>9</v>
      </c>
      <c r="Q133" s="2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5" spans="2:38" x14ac:dyDescent="0.2">
      <c r="B135" s="57" t="s">
        <v>42</v>
      </c>
      <c r="P135" s="57" t="s">
        <v>43</v>
      </c>
    </row>
    <row r="136" spans="2:38" x14ac:dyDescent="0.2">
      <c r="C136" s="58" t="s">
        <v>44</v>
      </c>
      <c r="D136">
        <f>AVERAGE(D133:N133,N126:N132,D126:M126,C126:C133)</f>
        <v>4.3194444444444452E-2</v>
      </c>
      <c r="AE136" t="s">
        <v>45</v>
      </c>
      <c r="AH136" t="s">
        <v>46</v>
      </c>
    </row>
    <row r="137" spans="2:38" x14ac:dyDescent="0.2">
      <c r="C137" s="58" t="s">
        <v>47</v>
      </c>
      <c r="D137">
        <f>D127</f>
        <v>1.0840000000000001</v>
      </c>
      <c r="E137">
        <f>D129</f>
        <v>1.0329999999999999</v>
      </c>
      <c r="F137">
        <f>D131</f>
        <v>1.0940000000000001</v>
      </c>
      <c r="G137">
        <f>H127</f>
        <v>1.1579999999999999</v>
      </c>
      <c r="H137">
        <f>H129</f>
        <v>1.1970000000000001</v>
      </c>
      <c r="I137">
        <f>H131</f>
        <v>1.198</v>
      </c>
      <c r="J137">
        <f>L127</f>
        <v>1.0569999999999999</v>
      </c>
      <c r="K137">
        <f>L129</f>
        <v>1.095</v>
      </c>
      <c r="L137">
        <f>L131</f>
        <v>1.0920000000000001</v>
      </c>
      <c r="Q137" s="58" t="s">
        <v>47</v>
      </c>
      <c r="R137">
        <f>D137-$D$136</f>
        <v>1.0408055555555555</v>
      </c>
      <c r="S137">
        <f t="shared" ref="S137:Z137" si="40">E137-$D$136</f>
        <v>0.98980555555555549</v>
      </c>
      <c r="T137">
        <f t="shared" si="40"/>
        <v>1.0508055555555555</v>
      </c>
      <c r="U137">
        <f t="shared" si="40"/>
        <v>1.1148055555555554</v>
      </c>
      <c r="V137">
        <f t="shared" si="40"/>
        <v>1.1538055555555555</v>
      </c>
      <c r="W137">
        <f t="shared" si="40"/>
        <v>1.1548055555555554</v>
      </c>
      <c r="X137">
        <f t="shared" si="40"/>
        <v>1.0138055555555554</v>
      </c>
      <c r="Y137">
        <f t="shared" si="40"/>
        <v>1.0518055555555554</v>
      </c>
      <c r="Z137">
        <f t="shared" si="40"/>
        <v>1.0488055555555555</v>
      </c>
      <c r="AE137" t="s">
        <v>48</v>
      </c>
      <c r="AF137">
        <f>AVERAGE(R137:Z137)</f>
        <v>1.0688055555555553</v>
      </c>
      <c r="AH137" t="s">
        <v>48</v>
      </c>
      <c r="AI137">
        <f>AVERAGE(R139:Z139)</f>
        <v>2.1249999999999991E-2</v>
      </c>
      <c r="AK137" s="59" t="s">
        <v>49</v>
      </c>
      <c r="AL137" s="59">
        <f>1- ((3*(AF138+AI138))/(AF137-AI137))</f>
        <v>0.78542461591557988</v>
      </c>
    </row>
    <row r="138" spans="2:38" x14ac:dyDescent="0.2">
      <c r="C138" s="58"/>
      <c r="G138" s="60"/>
      <c r="Q138" s="58"/>
      <c r="AE138" t="s">
        <v>50</v>
      </c>
      <c r="AF138">
        <f>STDEV(R137:Z137)</f>
        <v>5.8949130612757965E-2</v>
      </c>
      <c r="AH138" t="s">
        <v>50</v>
      </c>
      <c r="AI138">
        <f>STDEV(R139:Z139)</f>
        <v>1.5977414614942485E-2</v>
      </c>
      <c r="AK138" s="59"/>
      <c r="AL138" s="59"/>
    </row>
    <row r="139" spans="2:38" x14ac:dyDescent="0.2">
      <c r="C139" s="58" t="s">
        <v>4</v>
      </c>
      <c r="D139">
        <f>D128</f>
        <v>0.10199999999999999</v>
      </c>
      <c r="E139">
        <f>D130</f>
        <v>5.7000000000000002E-2</v>
      </c>
      <c r="F139">
        <f>D132</f>
        <v>7.0999999999999994E-2</v>
      </c>
      <c r="G139">
        <f>H128</f>
        <v>6.3E-2</v>
      </c>
      <c r="H139">
        <f>H130</f>
        <v>5.3999999999999999E-2</v>
      </c>
      <c r="I139">
        <f>H132</f>
        <v>5.7000000000000002E-2</v>
      </c>
      <c r="J139">
        <f>L128</f>
        <v>7.1999999999999995E-2</v>
      </c>
      <c r="K139">
        <f>L130</f>
        <v>5.1999999999999998E-2</v>
      </c>
      <c r="L139">
        <f>L132</f>
        <v>5.1999999999999998E-2</v>
      </c>
      <c r="Q139" s="58" t="s">
        <v>4</v>
      </c>
      <c r="R139">
        <f>D139-$D$136</f>
        <v>5.8805555555555541E-2</v>
      </c>
      <c r="S139">
        <f t="shared" ref="S139:Z139" si="41">E139-$D$136</f>
        <v>1.380555555555555E-2</v>
      </c>
      <c r="T139">
        <f t="shared" si="41"/>
        <v>2.7805555555555542E-2</v>
      </c>
      <c r="U139">
        <f t="shared" si="41"/>
        <v>1.9805555555555548E-2</v>
      </c>
      <c r="V139">
        <f t="shared" si="41"/>
        <v>1.0805555555555547E-2</v>
      </c>
      <c r="W139">
        <f t="shared" si="41"/>
        <v>1.380555555555555E-2</v>
      </c>
      <c r="X139">
        <f t="shared" si="41"/>
        <v>2.8805555555555543E-2</v>
      </c>
      <c r="Y139">
        <f t="shared" si="41"/>
        <v>8.8055555555555456E-3</v>
      </c>
      <c r="Z139">
        <f t="shared" si="41"/>
        <v>8.8055555555555456E-3</v>
      </c>
      <c r="AB139" s="58" t="s">
        <v>51</v>
      </c>
      <c r="AC139" s="58" t="s">
        <v>52</v>
      </c>
      <c r="AD139" s="58"/>
      <c r="AE139" t="s">
        <v>53</v>
      </c>
      <c r="AF139">
        <f>AF138*100/AF137</f>
        <v>5.5154214259409189</v>
      </c>
    </row>
    <row r="140" spans="2:38" x14ac:dyDescent="0.2">
      <c r="C140" s="58"/>
      <c r="D140" s="60"/>
      <c r="Q140" s="58"/>
      <c r="AB140" s="58"/>
      <c r="AC140" s="58"/>
      <c r="AD140" s="58"/>
      <c r="AE140" t="s">
        <v>54</v>
      </c>
      <c r="AF140">
        <f>3*AF138</f>
        <v>0.17684739183827389</v>
      </c>
    </row>
    <row r="141" spans="2:38" x14ac:dyDescent="0.2">
      <c r="C141" s="61">
        <f t="shared" ref="C141:C146" si="42">S127</f>
        <v>47</v>
      </c>
      <c r="D141">
        <f>E127</f>
        <v>0.35399999999999998</v>
      </c>
      <c r="P141" s="60"/>
      <c r="Q141" s="62">
        <f>C141</f>
        <v>47</v>
      </c>
      <c r="R141">
        <f>D141-$D$136</f>
        <v>0.31080555555555556</v>
      </c>
      <c r="S141" s="60"/>
      <c r="Z141" s="60"/>
      <c r="AA141" s="62">
        <f>C141</f>
        <v>47</v>
      </c>
      <c r="AB141">
        <f>R141*100/$AF$137</f>
        <v>29.079709956597455</v>
      </c>
    </row>
    <row r="142" spans="2:38" x14ac:dyDescent="0.2">
      <c r="C142" s="61">
        <f t="shared" si="42"/>
        <v>48</v>
      </c>
      <c r="D142">
        <f t="shared" ref="D142:D146" si="43">E128</f>
        <v>0.48399999999999999</v>
      </c>
      <c r="P142" s="60"/>
      <c r="Q142" s="62">
        <f t="shared" ref="Q142:Q182" si="44">C142</f>
        <v>48</v>
      </c>
      <c r="R142">
        <f t="shared" ref="R142:R182" si="45">D142-$D$136</f>
        <v>0.44080555555555556</v>
      </c>
      <c r="S142" s="60"/>
      <c r="Z142" s="60"/>
      <c r="AA142" s="62">
        <f t="shared" ref="AA142:AA182" si="46">C142</f>
        <v>48</v>
      </c>
      <c r="AB142">
        <f t="shared" ref="AB142:AB182" si="47">R142*100/$AF$137</f>
        <v>41.242820386204755</v>
      </c>
    </row>
    <row r="143" spans="2:38" x14ac:dyDescent="0.2">
      <c r="C143" s="61">
        <f t="shared" si="42"/>
        <v>49</v>
      </c>
      <c r="D143">
        <f t="shared" si="43"/>
        <v>0.64500000000000002</v>
      </c>
      <c r="P143" s="60"/>
      <c r="Q143" s="62">
        <f t="shared" si="44"/>
        <v>49</v>
      </c>
      <c r="R143">
        <f t="shared" si="45"/>
        <v>0.60180555555555559</v>
      </c>
      <c r="S143" s="60"/>
      <c r="Z143" s="60"/>
      <c r="AA143" s="62">
        <f t="shared" si="46"/>
        <v>49</v>
      </c>
      <c r="AB143">
        <f t="shared" si="47"/>
        <v>56.306364841333796</v>
      </c>
    </row>
    <row r="144" spans="2:38" x14ac:dyDescent="0.2">
      <c r="C144" s="61">
        <f t="shared" si="42"/>
        <v>50</v>
      </c>
      <c r="D144">
        <f>E130</f>
        <v>0.58799999999999997</v>
      </c>
      <c r="P144" s="60"/>
      <c r="Q144" s="62">
        <f>C144</f>
        <v>50</v>
      </c>
      <c r="R144">
        <f>D144-$D$136</f>
        <v>0.54480555555555554</v>
      </c>
      <c r="S144" s="60"/>
      <c r="Z144" s="60"/>
      <c r="AA144" s="62">
        <f t="shared" si="46"/>
        <v>50</v>
      </c>
      <c r="AB144">
        <f>R144*100/$AF$137</f>
        <v>50.97330872989059</v>
      </c>
    </row>
    <row r="145" spans="3:28" x14ac:dyDescent="0.2">
      <c r="C145" s="61">
        <f t="shared" si="42"/>
        <v>51</v>
      </c>
      <c r="D145">
        <f t="shared" si="43"/>
        <v>7.2999999999999995E-2</v>
      </c>
      <c r="P145" s="60"/>
      <c r="Q145" s="62">
        <f t="shared" si="44"/>
        <v>51</v>
      </c>
      <c r="R145">
        <f>D145-$D$136</f>
        <v>2.9805555555555543E-2</v>
      </c>
      <c r="S145" s="60"/>
      <c r="Z145" s="60"/>
      <c r="AA145" s="62">
        <f t="shared" si="46"/>
        <v>51</v>
      </c>
      <c r="AB145">
        <f>R145*100/$AF$137</f>
        <v>2.7886789510616725</v>
      </c>
    </row>
    <row r="146" spans="3:28" x14ac:dyDescent="0.2">
      <c r="C146" s="61">
        <f t="shared" si="42"/>
        <v>52</v>
      </c>
      <c r="D146">
        <f t="shared" si="43"/>
        <v>9.1999999999999998E-2</v>
      </c>
      <c r="P146" s="60"/>
      <c r="Q146" s="62">
        <f t="shared" si="44"/>
        <v>52</v>
      </c>
      <c r="R146">
        <f>D146-$D$136</f>
        <v>4.8805555555555546E-2</v>
      </c>
      <c r="S146" s="60"/>
      <c r="Z146" s="60"/>
      <c r="AA146" s="62">
        <f t="shared" si="46"/>
        <v>52</v>
      </c>
      <c r="AB146">
        <f t="shared" si="47"/>
        <v>4.5663643215427401</v>
      </c>
    </row>
    <row r="147" spans="3:28" x14ac:dyDescent="0.2">
      <c r="C147" s="61">
        <f t="shared" ref="C147:C152" si="48">T127</f>
        <v>53</v>
      </c>
      <c r="D147">
        <f t="shared" ref="D147:D152" si="49">F127</f>
        <v>6.2E-2</v>
      </c>
      <c r="P147" s="60"/>
      <c r="Q147" s="62">
        <f t="shared" si="44"/>
        <v>53</v>
      </c>
      <c r="R147">
        <f t="shared" si="45"/>
        <v>1.8805555555555548E-2</v>
      </c>
      <c r="S147" s="60"/>
      <c r="Z147" s="60"/>
      <c r="AA147" s="62">
        <f t="shared" si="46"/>
        <v>53</v>
      </c>
      <c r="AB147">
        <f>R147*100/$AF$137</f>
        <v>1.7594926839410552</v>
      </c>
    </row>
    <row r="148" spans="3:28" x14ac:dyDescent="0.2">
      <c r="C148" s="61">
        <f t="shared" si="48"/>
        <v>54</v>
      </c>
      <c r="D148">
        <f t="shared" si="49"/>
        <v>0.14199999999999999</v>
      </c>
      <c r="P148" s="60"/>
      <c r="Q148" s="62">
        <f t="shared" si="44"/>
        <v>54</v>
      </c>
      <c r="R148">
        <f t="shared" si="45"/>
        <v>9.8805555555555535E-2</v>
      </c>
      <c r="S148" s="60"/>
      <c r="Z148" s="60"/>
      <c r="AA148" s="62">
        <f t="shared" si="46"/>
        <v>54</v>
      </c>
      <c r="AB148">
        <f t="shared" si="47"/>
        <v>9.2444837175455454</v>
      </c>
    </row>
    <row r="149" spans="3:28" x14ac:dyDescent="0.2">
      <c r="C149" s="61">
        <f t="shared" si="48"/>
        <v>55</v>
      </c>
      <c r="D149">
        <f t="shared" si="49"/>
        <v>0.71899999999999997</v>
      </c>
      <c r="P149" s="60"/>
      <c r="Q149" s="62">
        <f t="shared" si="44"/>
        <v>55</v>
      </c>
      <c r="R149">
        <f t="shared" si="45"/>
        <v>0.67580555555555555</v>
      </c>
      <c r="S149" s="60"/>
      <c r="Z149" s="60"/>
      <c r="AA149" s="62">
        <f t="shared" si="46"/>
        <v>55</v>
      </c>
      <c r="AB149">
        <f t="shared" si="47"/>
        <v>63.229981547417943</v>
      </c>
    </row>
    <row r="150" spans="3:28" x14ac:dyDescent="0.2">
      <c r="C150" s="61">
        <f t="shared" si="48"/>
        <v>56</v>
      </c>
      <c r="D150">
        <f t="shared" si="49"/>
        <v>0.77800000000000002</v>
      </c>
      <c r="P150" s="60"/>
      <c r="Q150" s="62">
        <f t="shared" si="44"/>
        <v>56</v>
      </c>
      <c r="R150">
        <f t="shared" si="45"/>
        <v>0.7348055555555556</v>
      </c>
      <c r="S150" s="60"/>
      <c r="Z150" s="60"/>
      <c r="AA150" s="62">
        <f t="shared" si="46"/>
        <v>56</v>
      </c>
      <c r="AB150">
        <f t="shared" si="47"/>
        <v>68.750162434701267</v>
      </c>
    </row>
    <row r="151" spans="3:28" x14ac:dyDescent="0.2">
      <c r="C151" s="61">
        <f t="shared" si="48"/>
        <v>57</v>
      </c>
      <c r="D151">
        <f t="shared" si="49"/>
        <v>0.68400000000000005</v>
      </c>
      <c r="P151" s="60"/>
      <c r="Q151" s="62">
        <f t="shared" si="44"/>
        <v>57</v>
      </c>
      <c r="R151">
        <f t="shared" si="45"/>
        <v>0.64080555555555563</v>
      </c>
      <c r="S151" s="60"/>
      <c r="Z151" s="60"/>
      <c r="AA151" s="62">
        <f t="shared" si="46"/>
        <v>57</v>
      </c>
      <c r="AB151">
        <f t="shared" si="47"/>
        <v>59.955297970215994</v>
      </c>
    </row>
    <row r="152" spans="3:28" x14ac:dyDescent="0.2">
      <c r="C152" s="61">
        <f t="shared" si="48"/>
        <v>58</v>
      </c>
      <c r="D152">
        <f t="shared" si="49"/>
        <v>0.93100000000000005</v>
      </c>
      <c r="P152" s="60"/>
      <c r="Q152" s="62">
        <f t="shared" si="44"/>
        <v>58</v>
      </c>
      <c r="R152">
        <f t="shared" si="45"/>
        <v>0.88780555555555563</v>
      </c>
      <c r="S152" s="60"/>
      <c r="Z152" s="60"/>
      <c r="AA152" s="62">
        <f t="shared" si="46"/>
        <v>58</v>
      </c>
      <c r="AB152">
        <f t="shared" si="47"/>
        <v>83.06520778646987</v>
      </c>
    </row>
    <row r="153" spans="3:28" x14ac:dyDescent="0.2">
      <c r="C153" s="61">
        <f t="shared" ref="C153:C158" si="50">U127</f>
        <v>59</v>
      </c>
      <c r="D153">
        <f t="shared" ref="D153:D158" si="51">G127</f>
        <v>0.45100000000000001</v>
      </c>
      <c r="P153" s="60"/>
      <c r="Q153" s="62">
        <f t="shared" si="44"/>
        <v>59</v>
      </c>
      <c r="R153">
        <f t="shared" si="45"/>
        <v>0.40780555555555553</v>
      </c>
      <c r="S153" s="60"/>
      <c r="Z153" s="60"/>
      <c r="AA153" s="62">
        <f t="shared" si="46"/>
        <v>59</v>
      </c>
      <c r="AB153">
        <f t="shared" si="47"/>
        <v>38.155261584842897</v>
      </c>
    </row>
    <row r="154" spans="3:28" x14ac:dyDescent="0.2">
      <c r="C154" s="61">
        <f t="shared" si="50"/>
        <v>60</v>
      </c>
      <c r="D154">
        <f t="shared" si="51"/>
        <v>0.621</v>
      </c>
      <c r="P154" s="60"/>
      <c r="Q154" s="62">
        <f t="shared" si="44"/>
        <v>60</v>
      </c>
      <c r="R154">
        <f>D154-$D$136</f>
        <v>0.57780555555555557</v>
      </c>
      <c r="S154" s="60"/>
      <c r="Z154" s="60"/>
      <c r="AA154" s="62">
        <f t="shared" si="46"/>
        <v>60</v>
      </c>
      <c r="AB154">
        <f t="shared" si="47"/>
        <v>54.060867531252448</v>
      </c>
    </row>
    <row r="155" spans="3:28" x14ac:dyDescent="0.2">
      <c r="C155" s="61">
        <f t="shared" si="50"/>
        <v>61</v>
      </c>
      <c r="D155">
        <f t="shared" si="51"/>
        <v>0.32400000000000001</v>
      </c>
      <c r="P155" s="60"/>
      <c r="Q155" s="62">
        <f t="shared" si="44"/>
        <v>61</v>
      </c>
      <c r="R155">
        <f t="shared" si="45"/>
        <v>0.28080555555555553</v>
      </c>
      <c r="S155" s="60"/>
      <c r="Z155" s="60"/>
      <c r="AA155" s="62">
        <f t="shared" si="46"/>
        <v>61</v>
      </c>
      <c r="AB155">
        <f t="shared" si="47"/>
        <v>26.272838318995767</v>
      </c>
    </row>
    <row r="156" spans="3:28" x14ac:dyDescent="0.2">
      <c r="C156" s="61">
        <f t="shared" si="50"/>
        <v>62</v>
      </c>
      <c r="D156">
        <f t="shared" si="51"/>
        <v>0.65400000000000003</v>
      </c>
      <c r="P156" s="60"/>
      <c r="Q156" s="62">
        <f t="shared" si="44"/>
        <v>62</v>
      </c>
      <c r="R156">
        <f t="shared" si="45"/>
        <v>0.6108055555555556</v>
      </c>
      <c r="S156" s="60"/>
      <c r="Z156" s="60"/>
      <c r="AA156" s="62">
        <f t="shared" si="46"/>
        <v>62</v>
      </c>
      <c r="AB156">
        <f t="shared" si="47"/>
        <v>57.148426332614306</v>
      </c>
    </row>
    <row r="157" spans="3:28" x14ac:dyDescent="0.2">
      <c r="C157" s="61">
        <f t="shared" si="50"/>
        <v>63</v>
      </c>
      <c r="D157">
        <f t="shared" si="51"/>
        <v>0.45400000000000001</v>
      </c>
      <c r="P157" s="60"/>
      <c r="Q157" s="62">
        <f t="shared" si="44"/>
        <v>63</v>
      </c>
      <c r="R157">
        <f t="shared" si="45"/>
        <v>0.41080555555555553</v>
      </c>
      <c r="S157" s="60"/>
      <c r="Z157" s="60"/>
      <c r="AA157" s="62">
        <f t="shared" si="46"/>
        <v>63</v>
      </c>
      <c r="AB157">
        <f t="shared" si="47"/>
        <v>38.435948748603067</v>
      </c>
    </row>
    <row r="158" spans="3:28" x14ac:dyDescent="0.2">
      <c r="C158" s="61">
        <f t="shared" si="50"/>
        <v>64</v>
      </c>
      <c r="D158">
        <f t="shared" si="51"/>
        <v>0.45</v>
      </c>
      <c r="P158" s="60"/>
      <c r="Q158" s="62">
        <f t="shared" si="44"/>
        <v>64</v>
      </c>
      <c r="R158">
        <f t="shared" si="45"/>
        <v>0.40680555555555553</v>
      </c>
      <c r="S158" s="60"/>
      <c r="Z158" s="60"/>
      <c r="AA158" s="62">
        <f t="shared" si="46"/>
        <v>64</v>
      </c>
      <c r="AB158">
        <f t="shared" si="47"/>
        <v>38.061699196922838</v>
      </c>
    </row>
    <row r="159" spans="3:28" x14ac:dyDescent="0.2">
      <c r="C159" s="61">
        <f t="shared" ref="C159:C164" si="52">W127</f>
        <v>65</v>
      </c>
      <c r="D159">
        <f t="shared" ref="D159:D164" si="53">I127</f>
        <v>0.41099999999999998</v>
      </c>
      <c r="P159" s="60"/>
      <c r="Q159" s="62">
        <f t="shared" si="44"/>
        <v>65</v>
      </c>
      <c r="R159">
        <f t="shared" si="45"/>
        <v>0.3678055555555555</v>
      </c>
      <c r="S159" s="60"/>
      <c r="Z159" s="60"/>
      <c r="AA159" s="62">
        <f t="shared" si="46"/>
        <v>65</v>
      </c>
      <c r="AB159">
        <f t="shared" si="47"/>
        <v>34.412766068040654</v>
      </c>
    </row>
    <row r="160" spans="3:28" x14ac:dyDescent="0.2">
      <c r="C160" s="61">
        <f t="shared" si="52"/>
        <v>66</v>
      </c>
      <c r="D160">
        <f t="shared" si="53"/>
        <v>0.33200000000000002</v>
      </c>
      <c r="P160" s="60"/>
      <c r="Q160" s="62">
        <f t="shared" si="44"/>
        <v>66</v>
      </c>
      <c r="R160">
        <f t="shared" si="45"/>
        <v>0.28880555555555554</v>
      </c>
      <c r="S160" s="60"/>
      <c r="Z160" s="60"/>
      <c r="AA160" s="62">
        <f t="shared" si="46"/>
        <v>66</v>
      </c>
      <c r="AB160">
        <f t="shared" si="47"/>
        <v>27.021337422356215</v>
      </c>
    </row>
    <row r="161" spans="3:28" x14ac:dyDescent="0.2">
      <c r="C161" s="61">
        <f t="shared" si="52"/>
        <v>67</v>
      </c>
      <c r="D161">
        <f t="shared" si="53"/>
        <v>0.77600000000000002</v>
      </c>
      <c r="P161" s="60"/>
      <c r="Q161" s="62">
        <f t="shared" si="44"/>
        <v>67</v>
      </c>
      <c r="R161">
        <f t="shared" si="45"/>
        <v>0.7328055555555556</v>
      </c>
      <c r="S161" s="60"/>
      <c r="Z161" s="60"/>
      <c r="AA161" s="62">
        <f t="shared" si="46"/>
        <v>67</v>
      </c>
      <c r="AB161">
        <f t="shared" si="47"/>
        <v>68.563037658861163</v>
      </c>
    </row>
    <row r="162" spans="3:28" x14ac:dyDescent="0.2">
      <c r="C162" s="61">
        <f t="shared" si="52"/>
        <v>68</v>
      </c>
      <c r="D162">
        <f t="shared" si="53"/>
        <v>0.97799999999999998</v>
      </c>
      <c r="P162" s="60"/>
      <c r="Q162" s="62">
        <f t="shared" si="44"/>
        <v>68</v>
      </c>
      <c r="R162">
        <f t="shared" si="45"/>
        <v>0.93480555555555556</v>
      </c>
      <c r="S162" s="60"/>
      <c r="Z162" s="60"/>
      <c r="AA162" s="62">
        <f t="shared" si="46"/>
        <v>68</v>
      </c>
      <c r="AB162">
        <f t="shared" si="47"/>
        <v>87.462640018712491</v>
      </c>
    </row>
    <row r="163" spans="3:28" x14ac:dyDescent="0.2">
      <c r="C163" s="61">
        <f t="shared" si="52"/>
        <v>69</v>
      </c>
      <c r="D163">
        <f t="shared" si="53"/>
        <v>1.024</v>
      </c>
      <c r="P163" s="60"/>
      <c r="Q163" s="62">
        <f t="shared" si="44"/>
        <v>69</v>
      </c>
      <c r="R163">
        <f t="shared" si="45"/>
        <v>0.9808055555555556</v>
      </c>
      <c r="S163" s="60"/>
      <c r="Z163" s="60"/>
      <c r="AA163" s="62">
        <f t="shared" si="46"/>
        <v>69</v>
      </c>
      <c r="AB163">
        <f t="shared" si="47"/>
        <v>91.766509863035083</v>
      </c>
    </row>
    <row r="164" spans="3:28" x14ac:dyDescent="0.2">
      <c r="C164" s="61">
        <f t="shared" si="52"/>
        <v>70</v>
      </c>
      <c r="D164">
        <f t="shared" si="53"/>
        <v>1.0940000000000001</v>
      </c>
      <c r="P164" s="60"/>
      <c r="Q164" s="62">
        <f t="shared" si="44"/>
        <v>70</v>
      </c>
      <c r="R164">
        <f t="shared" si="45"/>
        <v>1.0508055555555555</v>
      </c>
      <c r="S164" s="60"/>
      <c r="Z164" s="60"/>
      <c r="AA164" s="62">
        <f t="shared" si="46"/>
        <v>70</v>
      </c>
      <c r="AB164">
        <f t="shared" si="47"/>
        <v>98.315877017439007</v>
      </c>
    </row>
    <row r="165" spans="3:28" x14ac:dyDescent="0.2">
      <c r="C165" s="61">
        <f t="shared" ref="C165:C170" si="54">X127</f>
        <v>71</v>
      </c>
      <c r="D165">
        <f t="shared" ref="D165:D170" si="55">J127</f>
        <v>5.0999999999999997E-2</v>
      </c>
      <c r="P165" s="60"/>
      <c r="Q165" s="62">
        <f t="shared" si="44"/>
        <v>71</v>
      </c>
      <c r="R165">
        <f t="shared" si="45"/>
        <v>7.8055555555555448E-3</v>
      </c>
      <c r="S165" s="60"/>
      <c r="Z165" s="60"/>
      <c r="AA165" s="62">
        <f t="shared" si="46"/>
        <v>71</v>
      </c>
      <c r="AB165">
        <f t="shared" si="47"/>
        <v>0.73030641682043729</v>
      </c>
    </row>
    <row r="166" spans="3:28" x14ac:dyDescent="0.2">
      <c r="C166" s="61">
        <f t="shared" si="54"/>
        <v>72</v>
      </c>
      <c r="D166">
        <f t="shared" si="55"/>
        <v>8.4000000000000005E-2</v>
      </c>
      <c r="P166" s="60"/>
      <c r="Q166" s="62">
        <f t="shared" si="44"/>
        <v>72</v>
      </c>
      <c r="R166">
        <f t="shared" si="45"/>
        <v>4.0805555555555553E-2</v>
      </c>
      <c r="S166" s="60"/>
      <c r="Z166" s="60"/>
      <c r="AA166" s="62">
        <f t="shared" si="46"/>
        <v>72</v>
      </c>
      <c r="AB166">
        <f t="shared" si="47"/>
        <v>3.8178652181822916</v>
      </c>
    </row>
    <row r="167" spans="3:28" x14ac:dyDescent="0.2">
      <c r="C167" s="61">
        <f t="shared" si="54"/>
        <v>73</v>
      </c>
      <c r="D167">
        <f t="shared" si="55"/>
        <v>8.8999999999999996E-2</v>
      </c>
      <c r="P167" s="60"/>
      <c r="Q167" s="62">
        <f t="shared" si="44"/>
        <v>73</v>
      </c>
      <c r="R167">
        <f t="shared" si="45"/>
        <v>4.5805555555555544E-2</v>
      </c>
      <c r="S167" s="60"/>
      <c r="Z167" s="60"/>
      <c r="AA167" s="62">
        <f t="shared" si="46"/>
        <v>73</v>
      </c>
      <c r="AB167">
        <f t="shared" si="47"/>
        <v>4.2856771577825707</v>
      </c>
    </row>
    <row r="168" spans="3:28" x14ac:dyDescent="0.2">
      <c r="C168" s="61">
        <f t="shared" si="54"/>
        <v>74</v>
      </c>
      <c r="D168">
        <f t="shared" si="55"/>
        <v>7.4999999999999997E-2</v>
      </c>
      <c r="P168" s="60"/>
      <c r="Q168" s="62">
        <f t="shared" si="44"/>
        <v>74</v>
      </c>
      <c r="R168">
        <f t="shared" si="45"/>
        <v>3.1805555555555545E-2</v>
      </c>
      <c r="S168" s="60"/>
      <c r="Z168" s="60"/>
      <c r="AA168" s="62">
        <f t="shared" si="46"/>
        <v>74</v>
      </c>
      <c r="AB168">
        <f t="shared" si="47"/>
        <v>2.975803726901785</v>
      </c>
    </row>
    <row r="169" spans="3:28" x14ac:dyDescent="0.2">
      <c r="C169" s="61">
        <f t="shared" si="54"/>
        <v>75</v>
      </c>
      <c r="D169">
        <f t="shared" si="55"/>
        <v>0.17399999999999999</v>
      </c>
      <c r="P169" s="60"/>
      <c r="Q169" s="62">
        <f t="shared" si="44"/>
        <v>75</v>
      </c>
      <c r="R169">
        <f t="shared" si="45"/>
        <v>0.13080555555555554</v>
      </c>
      <c r="S169" s="60"/>
      <c r="Z169" s="60"/>
      <c r="AA169" s="62">
        <f t="shared" si="46"/>
        <v>75</v>
      </c>
      <c r="AB169">
        <f t="shared" si="47"/>
        <v>12.238480130987345</v>
      </c>
    </row>
    <row r="170" spans="3:28" x14ac:dyDescent="0.2">
      <c r="C170" s="61">
        <f t="shared" si="54"/>
        <v>76</v>
      </c>
      <c r="D170">
        <f t="shared" si="55"/>
        <v>0.58699999999999997</v>
      </c>
      <c r="P170" s="60"/>
      <c r="Q170" s="62">
        <f t="shared" si="44"/>
        <v>76</v>
      </c>
      <c r="R170">
        <f t="shared" si="45"/>
        <v>0.54380555555555554</v>
      </c>
      <c r="S170" s="60"/>
      <c r="Z170" s="60"/>
      <c r="AA170" s="62">
        <f t="shared" si="46"/>
        <v>76</v>
      </c>
      <c r="AB170">
        <f t="shared" si="47"/>
        <v>50.879746341970538</v>
      </c>
    </row>
    <row r="171" spans="3:28" x14ac:dyDescent="0.2">
      <c r="C171" s="61">
        <f t="shared" ref="C171:C176" si="56">Y127</f>
        <v>77</v>
      </c>
      <c r="D171">
        <f t="shared" ref="D171:D176" si="57">K127</f>
        <v>0.435</v>
      </c>
      <c r="P171" s="60"/>
      <c r="Q171" s="62">
        <f t="shared" si="44"/>
        <v>77</v>
      </c>
      <c r="R171">
        <f t="shared" si="45"/>
        <v>0.39180555555555552</v>
      </c>
      <c r="S171" s="60"/>
      <c r="Z171" s="60"/>
      <c r="AA171" s="62">
        <f t="shared" si="46"/>
        <v>77</v>
      </c>
      <c r="AB171">
        <f t="shared" si="47"/>
        <v>36.658263378121994</v>
      </c>
    </row>
    <row r="172" spans="3:28" x14ac:dyDescent="0.2">
      <c r="C172" s="61">
        <f t="shared" si="56"/>
        <v>78</v>
      </c>
      <c r="D172">
        <f t="shared" si="57"/>
        <v>0.22600000000000001</v>
      </c>
      <c r="P172" s="60"/>
      <c r="Q172" s="62">
        <f t="shared" si="44"/>
        <v>78</v>
      </c>
      <c r="R172">
        <f t="shared" si="45"/>
        <v>0.18280555555555555</v>
      </c>
      <c r="S172" s="60"/>
      <c r="Z172" s="60"/>
      <c r="AA172" s="62">
        <f t="shared" si="46"/>
        <v>78</v>
      </c>
      <c r="AB172">
        <f t="shared" si="47"/>
        <v>17.103724302830265</v>
      </c>
    </row>
    <row r="173" spans="3:28" x14ac:dyDescent="0.2">
      <c r="C173" s="61">
        <f t="shared" si="56"/>
        <v>79</v>
      </c>
      <c r="D173">
        <f t="shared" si="57"/>
        <v>0.53600000000000003</v>
      </c>
      <c r="P173" s="60"/>
      <c r="Q173" s="62">
        <f t="shared" si="44"/>
        <v>79</v>
      </c>
      <c r="R173">
        <f t="shared" si="45"/>
        <v>0.49280555555555561</v>
      </c>
      <c r="S173" s="60"/>
      <c r="Z173" s="60"/>
      <c r="AA173" s="62">
        <f t="shared" si="46"/>
        <v>79</v>
      </c>
      <c r="AB173">
        <f t="shared" si="47"/>
        <v>46.10806455804768</v>
      </c>
    </row>
    <row r="174" spans="3:28" x14ac:dyDescent="0.2">
      <c r="C174" s="61">
        <f t="shared" si="56"/>
        <v>80</v>
      </c>
      <c r="D174">
        <f t="shared" si="57"/>
        <v>0.67</v>
      </c>
      <c r="P174" s="60"/>
      <c r="Q174" s="62">
        <f t="shared" si="44"/>
        <v>80</v>
      </c>
      <c r="R174">
        <f t="shared" si="45"/>
        <v>0.62680555555555562</v>
      </c>
      <c r="S174" s="60"/>
      <c r="Z174" s="60"/>
      <c r="AA174" s="62">
        <f t="shared" si="46"/>
        <v>80</v>
      </c>
      <c r="AB174">
        <f t="shared" si="47"/>
        <v>58.64542453933521</v>
      </c>
    </row>
    <row r="175" spans="3:28" x14ac:dyDescent="0.2">
      <c r="C175" s="61">
        <f t="shared" si="56"/>
        <v>81</v>
      </c>
      <c r="D175">
        <f t="shared" si="57"/>
        <v>0.66</v>
      </c>
      <c r="P175" s="60"/>
      <c r="Q175" s="62">
        <f t="shared" si="44"/>
        <v>81</v>
      </c>
      <c r="R175">
        <f t="shared" si="45"/>
        <v>0.61680555555555561</v>
      </c>
      <c r="S175" s="60"/>
      <c r="Z175" s="60"/>
      <c r="AA175" s="62">
        <f t="shared" si="46"/>
        <v>81</v>
      </c>
      <c r="AB175">
        <f t="shared" si="47"/>
        <v>57.70980066013464</v>
      </c>
    </row>
    <row r="176" spans="3:28" x14ac:dyDescent="0.2">
      <c r="C176" s="61">
        <f t="shared" si="56"/>
        <v>82</v>
      </c>
      <c r="D176">
        <f t="shared" si="57"/>
        <v>0.73599999999999999</v>
      </c>
      <c r="P176" s="60"/>
      <c r="Q176" s="62">
        <f t="shared" si="44"/>
        <v>82</v>
      </c>
      <c r="R176">
        <f t="shared" si="45"/>
        <v>0.69280555555555556</v>
      </c>
      <c r="S176" s="60"/>
      <c r="Z176" s="60"/>
      <c r="AA176" s="62">
        <f t="shared" si="46"/>
        <v>82</v>
      </c>
      <c r="AB176">
        <f t="shared" si="47"/>
        <v>64.820542142058898</v>
      </c>
    </row>
    <row r="177" spans="2:28" x14ac:dyDescent="0.2">
      <c r="C177" s="61">
        <f t="shared" ref="C177:C182" si="58">AA127</f>
        <v>83</v>
      </c>
      <c r="D177">
        <f t="shared" ref="D177:D182" si="59">M127</f>
        <v>0.114</v>
      </c>
      <c r="P177" s="60"/>
      <c r="Q177" s="62">
        <f t="shared" si="44"/>
        <v>83</v>
      </c>
      <c r="R177">
        <f t="shared" si="45"/>
        <v>7.0805555555555552E-2</v>
      </c>
      <c r="S177" s="60"/>
      <c r="Z177" s="60"/>
      <c r="AA177" s="62">
        <f t="shared" si="46"/>
        <v>83</v>
      </c>
      <c r="AB177">
        <f t="shared" si="47"/>
        <v>6.6247368557839756</v>
      </c>
    </row>
    <row r="178" spans="2:28" x14ac:dyDescent="0.2">
      <c r="C178" s="61">
        <f t="shared" si="58"/>
        <v>84</v>
      </c>
      <c r="D178">
        <f t="shared" si="59"/>
        <v>0.186</v>
      </c>
      <c r="P178" s="60"/>
      <c r="Q178" s="62">
        <f t="shared" si="44"/>
        <v>84</v>
      </c>
      <c r="R178">
        <f t="shared" si="45"/>
        <v>0.14280555555555555</v>
      </c>
      <c r="Z178" s="60"/>
      <c r="AA178" s="62">
        <f t="shared" si="46"/>
        <v>84</v>
      </c>
      <c r="AB178">
        <f t="shared" si="47"/>
        <v>13.361228786028018</v>
      </c>
    </row>
    <row r="179" spans="2:28" x14ac:dyDescent="0.2">
      <c r="C179" s="61">
        <f t="shared" si="58"/>
        <v>85</v>
      </c>
      <c r="D179">
        <f t="shared" si="59"/>
        <v>0.28399999999999997</v>
      </c>
      <c r="P179" s="60"/>
      <c r="Q179" s="62">
        <f t="shared" si="44"/>
        <v>85</v>
      </c>
      <c r="R179">
        <f>D179-$D$136</f>
        <v>0.24080555555555552</v>
      </c>
      <c r="S179" s="58"/>
      <c r="Z179" s="60"/>
      <c r="AA179" s="62">
        <f t="shared" si="46"/>
        <v>85</v>
      </c>
      <c r="AB179">
        <f t="shared" si="47"/>
        <v>22.53034280219352</v>
      </c>
    </row>
    <row r="180" spans="2:28" x14ac:dyDescent="0.2">
      <c r="C180" s="61">
        <f t="shared" si="58"/>
        <v>86</v>
      </c>
      <c r="D180">
        <f t="shared" si="59"/>
        <v>0.29399999999999998</v>
      </c>
      <c r="P180" s="60"/>
      <c r="Q180" s="62">
        <f t="shared" si="44"/>
        <v>86</v>
      </c>
      <c r="R180">
        <f t="shared" si="45"/>
        <v>0.2508055555555555</v>
      </c>
      <c r="Z180" s="60"/>
      <c r="AA180" s="62">
        <f t="shared" si="46"/>
        <v>86</v>
      </c>
      <c r="AB180">
        <f t="shared" si="47"/>
        <v>23.465966681394079</v>
      </c>
    </row>
    <row r="181" spans="2:28" x14ac:dyDescent="0.2">
      <c r="C181" s="61">
        <f t="shared" si="58"/>
        <v>87</v>
      </c>
      <c r="D181">
        <f t="shared" si="59"/>
        <v>0.70299999999999996</v>
      </c>
      <c r="P181" s="60"/>
      <c r="Q181" s="62">
        <f t="shared" si="44"/>
        <v>87</v>
      </c>
      <c r="R181">
        <f t="shared" si="45"/>
        <v>0.65980555555555553</v>
      </c>
      <c r="Z181" s="60"/>
      <c r="AA181" s="62">
        <f t="shared" si="46"/>
        <v>87</v>
      </c>
      <c r="AB181">
        <f t="shared" si="47"/>
        <v>61.732983340697054</v>
      </c>
    </row>
    <row r="182" spans="2:28" x14ac:dyDescent="0.2">
      <c r="C182" s="61">
        <f t="shared" si="58"/>
        <v>88</v>
      </c>
      <c r="D182">
        <f t="shared" si="59"/>
        <v>0.77700000000000002</v>
      </c>
      <c r="P182" s="60"/>
      <c r="Q182" s="62">
        <f t="shared" si="44"/>
        <v>88</v>
      </c>
      <c r="R182">
        <f t="shared" si="45"/>
        <v>0.7338055555555556</v>
      </c>
      <c r="Z182" s="60"/>
      <c r="AA182" s="62">
        <f t="shared" si="46"/>
        <v>88</v>
      </c>
      <c r="AB182">
        <f t="shared" si="47"/>
        <v>68.656600046781207</v>
      </c>
    </row>
    <row r="185" spans="2:28" x14ac:dyDescent="0.2">
      <c r="B185" s="7" t="s">
        <v>86</v>
      </c>
      <c r="C185" s="40">
        <v>45380</v>
      </c>
      <c r="D185" s="7" t="s">
        <v>68</v>
      </c>
      <c r="E185" s="41"/>
    </row>
    <row r="186" spans="2:28" x14ac:dyDescent="0.2">
      <c r="B186" s="42"/>
      <c r="C186" s="42">
        <v>1</v>
      </c>
      <c r="D186" s="42">
        <v>2</v>
      </c>
      <c r="E186" s="42">
        <v>3</v>
      </c>
      <c r="F186" s="42">
        <v>4</v>
      </c>
      <c r="G186" s="42">
        <v>5</v>
      </c>
      <c r="H186" s="42">
        <v>6</v>
      </c>
      <c r="I186" s="42">
        <v>7</v>
      </c>
      <c r="J186" s="42">
        <v>8</v>
      </c>
      <c r="K186" s="42">
        <v>9</v>
      </c>
      <c r="L186" s="42">
        <v>10</v>
      </c>
      <c r="M186" s="42">
        <v>11</v>
      </c>
      <c r="N186" s="42">
        <v>12</v>
      </c>
      <c r="Q186" s="1">
        <v>1</v>
      </c>
      <c r="R186" s="1">
        <v>2</v>
      </c>
      <c r="S186" s="1">
        <v>3</v>
      </c>
      <c r="T186" s="1">
        <v>4</v>
      </c>
      <c r="U186" s="1">
        <v>5</v>
      </c>
      <c r="V186" s="1">
        <v>6</v>
      </c>
      <c r="W186" s="1">
        <v>7</v>
      </c>
      <c r="X186" s="1">
        <v>8</v>
      </c>
      <c r="Y186" s="1">
        <v>9</v>
      </c>
      <c r="Z186" s="1">
        <v>10</v>
      </c>
      <c r="AA186" s="1">
        <v>11</v>
      </c>
      <c r="AB186" s="1">
        <v>12</v>
      </c>
    </row>
    <row r="187" spans="2:28" x14ac:dyDescent="0.2">
      <c r="B187" s="43" t="s">
        <v>0</v>
      </c>
      <c r="C187" s="44">
        <v>4.1000000000000002E-2</v>
      </c>
      <c r="D187" s="44">
        <v>4.1000000000000002E-2</v>
      </c>
      <c r="E187" s="44">
        <v>4.2000000000000003E-2</v>
      </c>
      <c r="F187" s="44">
        <v>4.1000000000000002E-2</v>
      </c>
      <c r="G187" s="44">
        <v>4.1000000000000002E-2</v>
      </c>
      <c r="H187" s="44">
        <v>4.1000000000000002E-2</v>
      </c>
      <c r="I187" s="44">
        <v>4.1000000000000002E-2</v>
      </c>
      <c r="J187" s="44">
        <v>4.1000000000000002E-2</v>
      </c>
      <c r="K187" s="44">
        <v>0.04</v>
      </c>
      <c r="L187" s="44">
        <v>0.04</v>
      </c>
      <c r="M187" s="44">
        <v>0.04</v>
      </c>
      <c r="N187" s="44">
        <v>0.04</v>
      </c>
      <c r="O187" s="18">
        <v>570</v>
      </c>
      <c r="P187" s="1" t="s">
        <v>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2:28" x14ac:dyDescent="0.2">
      <c r="B188" s="43" t="s">
        <v>1</v>
      </c>
      <c r="C188" s="44">
        <v>4.2000000000000003E-2</v>
      </c>
      <c r="D188" s="55">
        <v>1.024</v>
      </c>
      <c r="E188" s="47">
        <v>0.221</v>
      </c>
      <c r="F188" s="44">
        <v>9.6000000000000002E-2</v>
      </c>
      <c r="G188" s="51">
        <v>0.44800000000000001</v>
      </c>
      <c r="H188" s="67">
        <v>1.123</v>
      </c>
      <c r="I188" s="50">
        <v>0.38900000000000001</v>
      </c>
      <c r="J188" s="44">
        <v>4.2999999999999997E-2</v>
      </c>
      <c r="K188" s="48">
        <v>0.30599999999999999</v>
      </c>
      <c r="L188" s="67">
        <v>1.0469999999999999</v>
      </c>
      <c r="M188" s="44">
        <v>6.2E-2</v>
      </c>
      <c r="N188" s="44">
        <v>0.04</v>
      </c>
      <c r="O188" s="18">
        <v>570</v>
      </c>
      <c r="P188" s="1" t="s">
        <v>1</v>
      </c>
      <c r="Q188" s="2"/>
      <c r="R188" s="3" t="s">
        <v>2</v>
      </c>
      <c r="S188" s="4">
        <v>47</v>
      </c>
      <c r="T188" s="4">
        <v>53</v>
      </c>
      <c r="U188" s="4">
        <v>59</v>
      </c>
      <c r="V188" s="3" t="s">
        <v>2</v>
      </c>
      <c r="W188" s="4">
        <v>65</v>
      </c>
      <c r="X188" s="4">
        <v>71</v>
      </c>
      <c r="Y188" s="4">
        <v>77</v>
      </c>
      <c r="Z188" s="3" t="s">
        <v>2</v>
      </c>
      <c r="AA188" s="4">
        <v>83</v>
      </c>
      <c r="AB188" s="5"/>
    </row>
    <row r="189" spans="2:28" x14ac:dyDescent="0.2">
      <c r="B189" s="43" t="s">
        <v>3</v>
      </c>
      <c r="C189" s="44">
        <v>4.2000000000000003E-2</v>
      </c>
      <c r="D189" s="50">
        <v>0.36499999999999999</v>
      </c>
      <c r="E189" s="50">
        <v>0.41699999999999998</v>
      </c>
      <c r="F189" s="47">
        <v>0.217</v>
      </c>
      <c r="G189" s="52">
        <v>0.57499999999999996</v>
      </c>
      <c r="H189" s="47">
        <v>0.216</v>
      </c>
      <c r="I189" s="48">
        <v>0.29699999999999999</v>
      </c>
      <c r="J189" s="44">
        <v>4.9000000000000002E-2</v>
      </c>
      <c r="K189" s="48">
        <v>0.28000000000000003</v>
      </c>
      <c r="L189" s="47">
        <v>0.218</v>
      </c>
      <c r="M189" s="51">
        <v>0.45100000000000001</v>
      </c>
      <c r="N189" s="44">
        <v>4.2000000000000003E-2</v>
      </c>
      <c r="O189" s="18">
        <v>570</v>
      </c>
      <c r="P189" s="1" t="s">
        <v>3</v>
      </c>
      <c r="Q189" s="2"/>
      <c r="R189" s="6" t="s">
        <v>4</v>
      </c>
      <c r="S189" s="4">
        <v>48</v>
      </c>
      <c r="T189" s="4">
        <v>54</v>
      </c>
      <c r="U189" s="4">
        <v>60</v>
      </c>
      <c r="V189" s="6" t="s">
        <v>4</v>
      </c>
      <c r="W189" s="4">
        <v>66</v>
      </c>
      <c r="X189" s="4">
        <v>72</v>
      </c>
      <c r="Y189" s="4">
        <v>78</v>
      </c>
      <c r="Z189" s="6" t="s">
        <v>4</v>
      </c>
      <c r="AA189" s="4">
        <v>84</v>
      </c>
      <c r="AB189" s="5"/>
    </row>
    <row r="190" spans="2:28" x14ac:dyDescent="0.2">
      <c r="B190" s="43" t="s">
        <v>5</v>
      </c>
      <c r="C190" s="44">
        <v>4.1000000000000002E-2</v>
      </c>
      <c r="D190" s="49">
        <v>1.204</v>
      </c>
      <c r="E190" s="51">
        <v>0.47199999999999998</v>
      </c>
      <c r="F190" s="56">
        <v>0.89600000000000002</v>
      </c>
      <c r="G190" s="52">
        <v>0.6</v>
      </c>
      <c r="H190" s="49">
        <v>1.19</v>
      </c>
      <c r="I190" s="55">
        <v>1.0089999999999999</v>
      </c>
      <c r="J190" s="47">
        <v>0.159</v>
      </c>
      <c r="K190" s="53">
        <v>0.69599999999999995</v>
      </c>
      <c r="L190" s="49">
        <v>1.202</v>
      </c>
      <c r="M190" s="48">
        <v>0.312</v>
      </c>
      <c r="N190" s="44">
        <v>4.1000000000000002E-2</v>
      </c>
      <c r="O190" s="18">
        <v>570</v>
      </c>
      <c r="P190" s="1" t="s">
        <v>5</v>
      </c>
      <c r="Q190" s="2"/>
      <c r="R190" s="3" t="s">
        <v>2</v>
      </c>
      <c r="S190" s="4">
        <v>49</v>
      </c>
      <c r="T190" s="4">
        <v>55</v>
      </c>
      <c r="U190" s="4">
        <v>61</v>
      </c>
      <c r="V190" s="3" t="s">
        <v>2</v>
      </c>
      <c r="W190" s="4">
        <v>67</v>
      </c>
      <c r="X190" s="4">
        <v>73</v>
      </c>
      <c r="Y190" s="4">
        <v>79</v>
      </c>
      <c r="Z190" s="3" t="s">
        <v>2</v>
      </c>
      <c r="AA190" s="4">
        <v>85</v>
      </c>
      <c r="AB190" s="5"/>
    </row>
    <row r="191" spans="2:28" x14ac:dyDescent="0.2">
      <c r="B191" s="43" t="s">
        <v>6</v>
      </c>
      <c r="C191" s="44">
        <v>4.1000000000000002E-2</v>
      </c>
      <c r="D191" s="50">
        <v>0.41</v>
      </c>
      <c r="E191" s="52">
        <v>0.623</v>
      </c>
      <c r="F191" s="56">
        <v>0.87</v>
      </c>
      <c r="G191" s="52">
        <v>0.59699999999999998</v>
      </c>
      <c r="H191" s="47">
        <v>0.222</v>
      </c>
      <c r="I191" s="67">
        <v>1.048</v>
      </c>
      <c r="J191" s="47">
        <v>0.21199999999999999</v>
      </c>
      <c r="K191" s="46">
        <v>0.79200000000000004</v>
      </c>
      <c r="L191" s="48">
        <v>0.26</v>
      </c>
      <c r="M191" s="44">
        <v>5.6000000000000001E-2</v>
      </c>
      <c r="N191" s="44">
        <v>4.1000000000000002E-2</v>
      </c>
      <c r="O191" s="18">
        <v>570</v>
      </c>
      <c r="P191" s="1" t="s">
        <v>6</v>
      </c>
      <c r="Q191" s="2"/>
      <c r="R191" s="6" t="s">
        <v>4</v>
      </c>
      <c r="S191" s="4">
        <v>50</v>
      </c>
      <c r="T191" s="4">
        <v>56</v>
      </c>
      <c r="U191" s="4">
        <v>62</v>
      </c>
      <c r="V191" s="6" t="s">
        <v>4</v>
      </c>
      <c r="W191" s="4">
        <v>68</v>
      </c>
      <c r="X191" s="4">
        <v>74</v>
      </c>
      <c r="Y191" s="4">
        <v>80</v>
      </c>
      <c r="Z191" s="6" t="s">
        <v>4</v>
      </c>
      <c r="AA191" s="4">
        <v>86</v>
      </c>
      <c r="AB191" s="5"/>
    </row>
    <row r="192" spans="2:28" x14ac:dyDescent="0.2">
      <c r="B192" s="43" t="s">
        <v>7</v>
      </c>
      <c r="C192" s="44">
        <v>4.8000000000000001E-2</v>
      </c>
      <c r="D192" s="49">
        <v>1.2090000000000001</v>
      </c>
      <c r="E192" s="44">
        <v>7.4999999999999997E-2</v>
      </c>
      <c r="F192" s="55">
        <v>0.94799999999999995</v>
      </c>
      <c r="G192" s="51">
        <v>0.49299999999999999</v>
      </c>
      <c r="H192" s="45">
        <v>1.2450000000000001</v>
      </c>
      <c r="I192" s="49">
        <v>1.1990000000000001</v>
      </c>
      <c r="J192" s="47">
        <v>0.19500000000000001</v>
      </c>
      <c r="K192" s="46">
        <v>0.80100000000000005</v>
      </c>
      <c r="L192" s="54">
        <v>1.427</v>
      </c>
      <c r="M192" s="56">
        <v>0.92200000000000004</v>
      </c>
      <c r="N192" s="44">
        <v>4.8000000000000001E-2</v>
      </c>
      <c r="O192" s="18">
        <v>570</v>
      </c>
      <c r="P192" s="1" t="s">
        <v>7</v>
      </c>
      <c r="Q192" s="2"/>
      <c r="R192" s="3" t="s">
        <v>2</v>
      </c>
      <c r="S192" s="4">
        <v>51</v>
      </c>
      <c r="T192" s="4">
        <v>57</v>
      </c>
      <c r="U192" s="4">
        <v>63</v>
      </c>
      <c r="V192" s="3" t="s">
        <v>2</v>
      </c>
      <c r="W192" s="4">
        <v>69</v>
      </c>
      <c r="X192" s="4">
        <v>75</v>
      </c>
      <c r="Y192" s="4">
        <v>81</v>
      </c>
      <c r="Z192" s="3" t="s">
        <v>2</v>
      </c>
      <c r="AA192" s="4">
        <v>87</v>
      </c>
      <c r="AB192" s="5"/>
    </row>
    <row r="193" spans="2:38" x14ac:dyDescent="0.2">
      <c r="B193" s="43" t="s">
        <v>8</v>
      </c>
      <c r="C193" s="44">
        <v>4.1000000000000002E-2</v>
      </c>
      <c r="D193" s="50">
        <v>0.38400000000000001</v>
      </c>
      <c r="E193" s="44">
        <v>4.3999999999999997E-2</v>
      </c>
      <c r="F193" s="67">
        <v>1.032</v>
      </c>
      <c r="G193" s="50">
        <v>0.34599999999999997</v>
      </c>
      <c r="H193" s="47">
        <v>0.23300000000000001</v>
      </c>
      <c r="I193" s="55">
        <v>1.018</v>
      </c>
      <c r="J193" s="53">
        <v>0.66800000000000004</v>
      </c>
      <c r="K193" s="46">
        <v>0.82699999999999996</v>
      </c>
      <c r="L193" s="48">
        <v>0.24199999999999999</v>
      </c>
      <c r="M193" s="56">
        <v>0.88400000000000001</v>
      </c>
      <c r="N193" s="44">
        <v>4.2000000000000003E-2</v>
      </c>
      <c r="O193" s="18">
        <v>570</v>
      </c>
      <c r="P193" s="1" t="s">
        <v>8</v>
      </c>
      <c r="Q193" s="2"/>
      <c r="R193" s="6" t="s">
        <v>4</v>
      </c>
      <c r="S193" s="4">
        <v>52</v>
      </c>
      <c r="T193" s="4">
        <v>58</v>
      </c>
      <c r="U193" s="4">
        <v>64</v>
      </c>
      <c r="V193" s="6" t="s">
        <v>4</v>
      </c>
      <c r="W193" s="4">
        <v>70</v>
      </c>
      <c r="X193" s="4">
        <v>76</v>
      </c>
      <c r="Y193" s="4">
        <v>82</v>
      </c>
      <c r="Z193" s="6" t="s">
        <v>4</v>
      </c>
      <c r="AA193" s="4">
        <v>88</v>
      </c>
      <c r="AB193" s="5"/>
    </row>
    <row r="194" spans="2:38" x14ac:dyDescent="0.2">
      <c r="B194" s="43" t="s">
        <v>9</v>
      </c>
      <c r="C194" s="44">
        <v>4.2999999999999997E-2</v>
      </c>
      <c r="D194" s="44">
        <v>4.1000000000000002E-2</v>
      </c>
      <c r="E194" s="44">
        <v>4.1000000000000002E-2</v>
      </c>
      <c r="F194" s="44">
        <v>0.04</v>
      </c>
      <c r="G194" s="44">
        <v>4.2999999999999997E-2</v>
      </c>
      <c r="H194" s="44">
        <v>4.1000000000000002E-2</v>
      </c>
      <c r="I194" s="44">
        <v>0.04</v>
      </c>
      <c r="J194" s="44">
        <v>0.04</v>
      </c>
      <c r="K194" s="44">
        <v>4.1000000000000002E-2</v>
      </c>
      <c r="L194" s="44">
        <v>4.1000000000000002E-2</v>
      </c>
      <c r="M194" s="44">
        <v>4.1000000000000002E-2</v>
      </c>
      <c r="N194" s="44">
        <v>0.04</v>
      </c>
      <c r="O194" s="18">
        <v>570</v>
      </c>
      <c r="P194" s="1" t="s">
        <v>9</v>
      </c>
      <c r="Q194" s="2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6" spans="2:38" x14ac:dyDescent="0.2">
      <c r="B196" s="57" t="s">
        <v>42</v>
      </c>
      <c r="P196" s="57" t="s">
        <v>43</v>
      </c>
    </row>
    <row r="197" spans="2:38" x14ac:dyDescent="0.2">
      <c r="C197" s="58" t="s">
        <v>44</v>
      </c>
      <c r="D197">
        <f>AVERAGE(D194:N194,N187:N193,D187:M187,C187:C194)</f>
        <v>4.1388888888888892E-2</v>
      </c>
      <c r="AE197" t="s">
        <v>45</v>
      </c>
      <c r="AH197" t="s">
        <v>46</v>
      </c>
    </row>
    <row r="198" spans="2:38" x14ac:dyDescent="0.2">
      <c r="C198" s="58" t="s">
        <v>47</v>
      </c>
      <c r="D198">
        <f>D188</f>
        <v>1.024</v>
      </c>
      <c r="E198">
        <f>D190</f>
        <v>1.204</v>
      </c>
      <c r="F198">
        <f>D192</f>
        <v>1.2090000000000001</v>
      </c>
      <c r="G198">
        <f>H188</f>
        <v>1.123</v>
      </c>
      <c r="H198">
        <f>H190</f>
        <v>1.19</v>
      </c>
      <c r="I198">
        <f>H192</f>
        <v>1.2450000000000001</v>
      </c>
      <c r="J198">
        <f>L188</f>
        <v>1.0469999999999999</v>
      </c>
      <c r="K198">
        <f>L190</f>
        <v>1.202</v>
      </c>
      <c r="L198">
        <f>L192</f>
        <v>1.427</v>
      </c>
      <c r="Q198" s="58" t="s">
        <v>47</v>
      </c>
      <c r="R198">
        <f>D198-$D$197</f>
        <v>0.9826111111111111</v>
      </c>
      <c r="S198">
        <f t="shared" ref="S198:Y198" si="60">E198-$D$197</f>
        <v>1.162611111111111</v>
      </c>
      <c r="T198">
        <f t="shared" si="60"/>
        <v>1.1676111111111112</v>
      </c>
      <c r="U198">
        <f t="shared" si="60"/>
        <v>1.0816111111111111</v>
      </c>
      <c r="V198">
        <f t="shared" si="60"/>
        <v>1.148611111111111</v>
      </c>
      <c r="W198">
        <f t="shared" si="60"/>
        <v>1.2036111111111112</v>
      </c>
      <c r="X198">
        <f t="shared" si="60"/>
        <v>1.005611111111111</v>
      </c>
      <c r="Y198">
        <f t="shared" si="60"/>
        <v>1.160611111111111</v>
      </c>
      <c r="Z198">
        <f>L198-$D$197</f>
        <v>1.3856111111111111</v>
      </c>
      <c r="AE198" t="s">
        <v>48</v>
      </c>
      <c r="AF198">
        <f>AVERAGE(R198:Z198)</f>
        <v>1.1442777777777777</v>
      </c>
      <c r="AH198" t="s">
        <v>48</v>
      </c>
      <c r="AI198">
        <f>AVERAGE(R200:Z200)</f>
        <v>0.24194444444444441</v>
      </c>
      <c r="AK198" s="59" t="s">
        <v>49</v>
      </c>
      <c r="AL198" s="59">
        <f>1- ((3*(AF199+AI199))/(AF198-AI198))</f>
        <v>0.34286678886796551</v>
      </c>
    </row>
    <row r="199" spans="2:38" x14ac:dyDescent="0.2">
      <c r="C199" s="58"/>
      <c r="G199" s="60"/>
      <c r="Q199" s="58"/>
      <c r="AE199" t="s">
        <v>50</v>
      </c>
      <c r="AF199">
        <f>STDEV(R198:Z198)</f>
        <v>0.11843774736121929</v>
      </c>
      <c r="AH199" t="s">
        <v>50</v>
      </c>
      <c r="AI199">
        <f>STDEV(R200:Z200)</f>
        <v>7.9213319587049302E-2</v>
      </c>
      <c r="AK199" s="59"/>
      <c r="AL199" s="59"/>
    </row>
    <row r="200" spans="2:38" x14ac:dyDescent="0.2">
      <c r="C200" s="58" t="s">
        <v>4</v>
      </c>
      <c r="D200">
        <f>D189</f>
        <v>0.36499999999999999</v>
      </c>
      <c r="E200">
        <f>D191</f>
        <v>0.41</v>
      </c>
      <c r="F200">
        <f>D193</f>
        <v>0.38400000000000001</v>
      </c>
      <c r="G200">
        <f>H189</f>
        <v>0.216</v>
      </c>
      <c r="H200">
        <f>H191</f>
        <v>0.222</v>
      </c>
      <c r="I200">
        <f>H193</f>
        <v>0.23300000000000001</v>
      </c>
      <c r="J200">
        <f>L189</f>
        <v>0.218</v>
      </c>
      <c r="K200">
        <f>L191</f>
        <v>0.26</v>
      </c>
      <c r="L200">
        <f>L193</f>
        <v>0.24199999999999999</v>
      </c>
      <c r="Q200" s="58" t="s">
        <v>4</v>
      </c>
      <c r="R200">
        <f>D200-$D$197</f>
        <v>0.32361111111111107</v>
      </c>
      <c r="S200">
        <f t="shared" ref="S200:Y200" si="61">E200-$D$197</f>
        <v>0.36861111111111111</v>
      </c>
      <c r="T200">
        <f t="shared" si="61"/>
        <v>0.34261111111111109</v>
      </c>
      <c r="U200">
        <f t="shared" si="61"/>
        <v>0.17461111111111111</v>
      </c>
      <c r="V200">
        <f t="shared" si="61"/>
        <v>0.18061111111111111</v>
      </c>
      <c r="W200">
        <f t="shared" si="61"/>
        <v>0.19161111111111112</v>
      </c>
      <c r="X200">
        <f t="shared" si="61"/>
        <v>0.17661111111111111</v>
      </c>
      <c r="Y200">
        <f t="shared" si="61"/>
        <v>0.21861111111111112</v>
      </c>
      <c r="Z200">
        <f>L200-$D$197</f>
        <v>0.2006111111111111</v>
      </c>
      <c r="AB200" s="58" t="s">
        <v>51</v>
      </c>
      <c r="AC200" s="58" t="s">
        <v>52</v>
      </c>
      <c r="AD200" s="58"/>
      <c r="AE200" t="s">
        <v>53</v>
      </c>
      <c r="AF200">
        <f>AF199*100/AF198</f>
        <v>10.35043672623172</v>
      </c>
    </row>
    <row r="201" spans="2:38" x14ac:dyDescent="0.2">
      <c r="C201" s="58"/>
      <c r="D201" s="60"/>
      <c r="Q201" s="58"/>
      <c r="AB201" s="58"/>
      <c r="AC201" s="58"/>
      <c r="AD201" s="58"/>
      <c r="AE201" t="s">
        <v>54</v>
      </c>
      <c r="AF201">
        <f>3*AF199</f>
        <v>0.35531324208365789</v>
      </c>
    </row>
    <row r="202" spans="2:38" x14ac:dyDescent="0.2">
      <c r="C202" s="61">
        <f t="shared" ref="C202:C207" si="62">S188</f>
        <v>47</v>
      </c>
      <c r="D202">
        <f t="shared" ref="D202:D207" si="63">E188</f>
        <v>0.221</v>
      </c>
      <c r="P202" s="60"/>
      <c r="Q202" s="62">
        <f>C202</f>
        <v>47</v>
      </c>
      <c r="R202">
        <f>D202-$D$197</f>
        <v>0.17961111111111111</v>
      </c>
      <c r="S202" s="60"/>
      <c r="Z202" s="60"/>
      <c r="AA202" s="62">
        <f>C202</f>
        <v>47</v>
      </c>
      <c r="AB202">
        <f>R202*100/$AF$198</f>
        <v>15.696460649609168</v>
      </c>
    </row>
    <row r="203" spans="2:38" x14ac:dyDescent="0.2">
      <c r="C203" s="61">
        <f t="shared" si="62"/>
        <v>48</v>
      </c>
      <c r="D203">
        <f t="shared" si="63"/>
        <v>0.41699999999999998</v>
      </c>
      <c r="P203" s="60"/>
      <c r="Q203" s="62">
        <f t="shared" ref="Q203:Q243" si="64">C203</f>
        <v>48</v>
      </c>
      <c r="R203">
        <f t="shared" ref="R203:R243" si="65">D203-$D$197</f>
        <v>0.37561111111111112</v>
      </c>
      <c r="S203" s="60"/>
      <c r="Z203" s="60"/>
      <c r="AA203" s="62">
        <f t="shared" ref="AA203:AA243" si="66">C203</f>
        <v>48</v>
      </c>
      <c r="AB203">
        <f>R203*100/$AF$198</f>
        <v>32.82516871389037</v>
      </c>
    </row>
    <row r="204" spans="2:38" x14ac:dyDescent="0.2">
      <c r="C204" s="61">
        <f t="shared" si="62"/>
        <v>49</v>
      </c>
      <c r="D204">
        <f t="shared" si="63"/>
        <v>0.47199999999999998</v>
      </c>
      <c r="P204" s="60"/>
      <c r="Q204" s="62">
        <f t="shared" si="64"/>
        <v>49</v>
      </c>
      <c r="R204">
        <f t="shared" si="65"/>
        <v>0.43061111111111106</v>
      </c>
      <c r="S204" s="60"/>
      <c r="Z204" s="60"/>
      <c r="AA204" s="62">
        <f t="shared" si="66"/>
        <v>49</v>
      </c>
      <c r="AB204">
        <f t="shared" ref="AB204:AB242" si="67">R204*100/$AF$198</f>
        <v>37.631693936010095</v>
      </c>
    </row>
    <row r="205" spans="2:38" x14ac:dyDescent="0.2">
      <c r="C205" s="61">
        <f t="shared" si="62"/>
        <v>50</v>
      </c>
      <c r="D205">
        <f t="shared" si="63"/>
        <v>0.623</v>
      </c>
      <c r="P205" s="60"/>
      <c r="Q205" s="62">
        <f>C205</f>
        <v>50</v>
      </c>
      <c r="R205">
        <f>D205-$D$197</f>
        <v>0.58161111111111108</v>
      </c>
      <c r="S205" s="60"/>
      <c r="Z205" s="60"/>
      <c r="AA205" s="62">
        <f t="shared" si="66"/>
        <v>50</v>
      </c>
      <c r="AB205">
        <f t="shared" si="67"/>
        <v>50.827790454920624</v>
      </c>
    </row>
    <row r="206" spans="2:38" x14ac:dyDescent="0.2">
      <c r="C206" s="61">
        <f t="shared" si="62"/>
        <v>51</v>
      </c>
      <c r="D206">
        <f t="shared" si="63"/>
        <v>7.4999999999999997E-2</v>
      </c>
      <c r="P206" s="60"/>
      <c r="Q206" s="62">
        <f t="shared" si="64"/>
        <v>51</v>
      </c>
      <c r="R206">
        <f>D206-$D$197</f>
        <v>3.3611111111111105E-2</v>
      </c>
      <c r="S206" s="60"/>
      <c r="Z206" s="60"/>
      <c r="AA206" s="62">
        <f t="shared" si="66"/>
        <v>51</v>
      </c>
      <c r="AB206">
        <f t="shared" si="67"/>
        <v>2.9373209690731659</v>
      </c>
    </row>
    <row r="207" spans="2:38" x14ac:dyDescent="0.2">
      <c r="C207" s="61">
        <f t="shared" si="62"/>
        <v>52</v>
      </c>
      <c r="D207">
        <f t="shared" si="63"/>
        <v>4.3999999999999997E-2</v>
      </c>
      <c r="P207" s="60"/>
      <c r="Q207" s="62">
        <f t="shared" si="64"/>
        <v>52</v>
      </c>
      <c r="R207">
        <f t="shared" si="65"/>
        <v>2.6111111111111057E-3</v>
      </c>
      <c r="S207" s="60"/>
      <c r="Z207" s="60"/>
      <c r="AA207" s="62">
        <f t="shared" si="66"/>
        <v>52</v>
      </c>
      <c r="AB207">
        <f t="shared" si="67"/>
        <v>0.22818857115113805</v>
      </c>
    </row>
    <row r="208" spans="2:38" x14ac:dyDescent="0.2">
      <c r="C208" s="61">
        <f t="shared" ref="C208:C213" si="68">T188</f>
        <v>53</v>
      </c>
      <c r="D208">
        <f t="shared" ref="D208:D213" si="69">F188</f>
        <v>9.6000000000000002E-2</v>
      </c>
      <c r="P208" s="60"/>
      <c r="Q208" s="62">
        <f t="shared" si="64"/>
        <v>53</v>
      </c>
      <c r="R208">
        <f>D208-$D$197</f>
        <v>5.461111111111111E-2</v>
      </c>
      <c r="S208" s="60"/>
      <c r="Z208" s="60"/>
      <c r="AA208" s="62">
        <f t="shared" si="66"/>
        <v>53</v>
      </c>
      <c r="AB208">
        <f t="shared" si="67"/>
        <v>4.7725396902461528</v>
      </c>
    </row>
    <row r="209" spans="3:28" x14ac:dyDescent="0.2">
      <c r="C209" s="61">
        <f t="shared" si="68"/>
        <v>54</v>
      </c>
      <c r="D209">
        <f t="shared" si="69"/>
        <v>0.217</v>
      </c>
      <c r="P209" s="60"/>
      <c r="Q209" s="62">
        <f t="shared" si="64"/>
        <v>54</v>
      </c>
      <c r="R209">
        <f>D209-$D$197</f>
        <v>0.17561111111111111</v>
      </c>
      <c r="S209" s="60"/>
      <c r="Z209" s="60"/>
      <c r="AA209" s="62">
        <f t="shared" si="66"/>
        <v>54</v>
      </c>
      <c r="AB209">
        <f>R209*100/$AF$198</f>
        <v>15.34689517890955</v>
      </c>
    </row>
    <row r="210" spans="3:28" x14ac:dyDescent="0.2">
      <c r="C210" s="61">
        <f t="shared" si="68"/>
        <v>55</v>
      </c>
      <c r="D210">
        <f t="shared" si="69"/>
        <v>0.89600000000000002</v>
      </c>
      <c r="P210" s="60"/>
      <c r="Q210" s="62">
        <f t="shared" si="64"/>
        <v>55</v>
      </c>
      <c r="R210">
        <f t="shared" si="65"/>
        <v>0.8546111111111111</v>
      </c>
      <c r="S210" s="60"/>
      <c r="Z210" s="60"/>
      <c r="AA210" s="62">
        <f t="shared" si="66"/>
        <v>55</v>
      </c>
      <c r="AB210">
        <f t="shared" si="67"/>
        <v>74.685633830169436</v>
      </c>
    </row>
    <row r="211" spans="3:28" x14ac:dyDescent="0.2">
      <c r="C211" s="61">
        <f t="shared" si="68"/>
        <v>56</v>
      </c>
      <c r="D211">
        <f t="shared" si="69"/>
        <v>0.87</v>
      </c>
      <c r="P211" s="60"/>
      <c r="Q211" s="62">
        <f t="shared" si="64"/>
        <v>56</v>
      </c>
      <c r="R211">
        <f t="shared" si="65"/>
        <v>0.82861111111111108</v>
      </c>
      <c r="S211" s="60"/>
      <c r="Z211" s="60"/>
      <c r="AA211" s="62">
        <f t="shared" si="66"/>
        <v>56</v>
      </c>
      <c r="AB211">
        <f t="shared" si="67"/>
        <v>72.413458270621945</v>
      </c>
    </row>
    <row r="212" spans="3:28" x14ac:dyDescent="0.2">
      <c r="C212" s="61">
        <f t="shared" si="68"/>
        <v>57</v>
      </c>
      <c r="D212">
        <f t="shared" si="69"/>
        <v>0.94799999999999995</v>
      </c>
      <c r="P212" s="60"/>
      <c r="Q212" s="62">
        <f t="shared" si="64"/>
        <v>57</v>
      </c>
      <c r="R212">
        <f t="shared" si="65"/>
        <v>0.90661111111111103</v>
      </c>
      <c r="S212" s="60"/>
      <c r="Z212" s="60"/>
      <c r="AA212" s="62">
        <f t="shared" si="66"/>
        <v>57</v>
      </c>
      <c r="AB212">
        <f t="shared" si="67"/>
        <v>79.229984949264448</v>
      </c>
    </row>
    <row r="213" spans="3:28" x14ac:dyDescent="0.2">
      <c r="C213" s="61">
        <f t="shared" si="68"/>
        <v>58</v>
      </c>
      <c r="D213">
        <f t="shared" si="69"/>
        <v>1.032</v>
      </c>
      <c r="P213" s="60"/>
      <c r="Q213" s="62">
        <f t="shared" si="64"/>
        <v>58</v>
      </c>
      <c r="R213">
        <f t="shared" si="65"/>
        <v>0.99061111111111111</v>
      </c>
      <c r="S213" s="60"/>
      <c r="Z213" s="60"/>
      <c r="AA213" s="62">
        <f t="shared" si="66"/>
        <v>58</v>
      </c>
      <c r="AB213">
        <f t="shared" si="67"/>
        <v>86.570859833956405</v>
      </c>
    </row>
    <row r="214" spans="3:28" x14ac:dyDescent="0.2">
      <c r="C214" s="61">
        <f t="shared" ref="C214:C219" si="70">U188</f>
        <v>59</v>
      </c>
      <c r="D214">
        <f t="shared" ref="D214:D219" si="71">G188</f>
        <v>0.44800000000000001</v>
      </c>
      <c r="P214" s="60"/>
      <c r="Q214" s="62">
        <f t="shared" si="64"/>
        <v>59</v>
      </c>
      <c r="R214">
        <f t="shared" si="65"/>
        <v>0.40661111111111115</v>
      </c>
      <c r="S214" s="60"/>
      <c r="Z214" s="60"/>
      <c r="AA214" s="62">
        <f t="shared" si="66"/>
        <v>59</v>
      </c>
      <c r="AB214">
        <f t="shared" si="67"/>
        <v>35.534301111812404</v>
      </c>
    </row>
    <row r="215" spans="3:28" x14ac:dyDescent="0.2">
      <c r="C215" s="61">
        <f t="shared" si="70"/>
        <v>60</v>
      </c>
      <c r="D215">
        <f t="shared" si="71"/>
        <v>0.57499999999999996</v>
      </c>
      <c r="P215" s="60"/>
      <c r="Q215" s="62">
        <f t="shared" si="64"/>
        <v>60</v>
      </c>
      <c r="R215">
        <f t="shared" si="65"/>
        <v>0.53361111111111104</v>
      </c>
      <c r="S215" s="60"/>
      <c r="Z215" s="60"/>
      <c r="AA215" s="62">
        <f t="shared" si="66"/>
        <v>60</v>
      </c>
      <c r="AB215">
        <f t="shared" si="67"/>
        <v>46.633004806525214</v>
      </c>
    </row>
    <row r="216" spans="3:28" x14ac:dyDescent="0.2">
      <c r="C216" s="61">
        <f t="shared" si="70"/>
        <v>61</v>
      </c>
      <c r="D216">
        <f t="shared" si="71"/>
        <v>0.6</v>
      </c>
      <c r="P216" s="60"/>
      <c r="Q216" s="62">
        <f t="shared" si="64"/>
        <v>61</v>
      </c>
      <c r="R216">
        <f t="shared" si="65"/>
        <v>0.55861111111111106</v>
      </c>
      <c r="S216" s="60"/>
      <c r="Z216" s="60"/>
      <c r="AA216" s="62">
        <f t="shared" si="66"/>
        <v>61</v>
      </c>
      <c r="AB216">
        <f t="shared" si="67"/>
        <v>48.817788998397823</v>
      </c>
    </row>
    <row r="217" spans="3:28" x14ac:dyDescent="0.2">
      <c r="C217" s="61">
        <f t="shared" si="70"/>
        <v>62</v>
      </c>
      <c r="D217">
        <f t="shared" si="71"/>
        <v>0.59699999999999998</v>
      </c>
      <c r="P217" s="60"/>
      <c r="Q217" s="62">
        <f t="shared" si="64"/>
        <v>62</v>
      </c>
      <c r="R217">
        <f t="shared" si="65"/>
        <v>0.55561111111111106</v>
      </c>
      <c r="S217" s="60"/>
      <c r="Z217" s="60"/>
      <c r="AA217" s="62">
        <f t="shared" si="66"/>
        <v>62</v>
      </c>
      <c r="AB217">
        <f t="shared" si="67"/>
        <v>48.555614895373111</v>
      </c>
    </row>
    <row r="218" spans="3:28" x14ac:dyDescent="0.2">
      <c r="C218" s="61">
        <f t="shared" si="70"/>
        <v>63</v>
      </c>
      <c r="D218">
        <f t="shared" si="71"/>
        <v>0.49299999999999999</v>
      </c>
      <c r="P218" s="60"/>
      <c r="Q218" s="62">
        <f t="shared" si="64"/>
        <v>63</v>
      </c>
      <c r="R218">
        <f t="shared" si="65"/>
        <v>0.45161111111111107</v>
      </c>
      <c r="S218" s="60"/>
      <c r="Z218" s="60"/>
      <c r="AA218" s="62">
        <f t="shared" si="66"/>
        <v>63</v>
      </c>
      <c r="AB218">
        <f t="shared" si="67"/>
        <v>39.46691265718308</v>
      </c>
    </row>
    <row r="219" spans="3:28" x14ac:dyDescent="0.2">
      <c r="C219" s="61">
        <f t="shared" si="70"/>
        <v>64</v>
      </c>
      <c r="D219">
        <f t="shared" si="71"/>
        <v>0.34599999999999997</v>
      </c>
      <c r="P219" s="60"/>
      <c r="Q219" s="62">
        <f t="shared" si="64"/>
        <v>64</v>
      </c>
      <c r="R219">
        <f t="shared" si="65"/>
        <v>0.30461111111111105</v>
      </c>
      <c r="S219" s="60"/>
      <c r="Z219" s="60"/>
      <c r="AA219" s="62">
        <f t="shared" si="66"/>
        <v>64</v>
      </c>
      <c r="AB219">
        <f t="shared" si="67"/>
        <v>26.620381608972178</v>
      </c>
    </row>
    <row r="220" spans="3:28" x14ac:dyDescent="0.2">
      <c r="C220" s="61">
        <f t="shared" ref="C220:C225" si="72">W188</f>
        <v>65</v>
      </c>
      <c r="D220">
        <f t="shared" ref="D220:D225" si="73">I188</f>
        <v>0.38900000000000001</v>
      </c>
      <c r="P220" s="60"/>
      <c r="Q220" s="62">
        <f t="shared" si="64"/>
        <v>65</v>
      </c>
      <c r="R220">
        <f t="shared" si="65"/>
        <v>0.34761111111111109</v>
      </c>
      <c r="S220" s="60"/>
      <c r="Z220" s="60"/>
      <c r="AA220" s="62">
        <f t="shared" si="66"/>
        <v>65</v>
      </c>
      <c r="AB220">
        <f t="shared" si="67"/>
        <v>30.378210418993053</v>
      </c>
    </row>
    <row r="221" spans="3:28" x14ac:dyDescent="0.2">
      <c r="C221" s="61">
        <f t="shared" si="72"/>
        <v>66</v>
      </c>
      <c r="D221">
        <f t="shared" si="73"/>
        <v>0.29699999999999999</v>
      </c>
      <c r="P221" s="60"/>
      <c r="Q221" s="62">
        <f t="shared" si="64"/>
        <v>66</v>
      </c>
      <c r="R221">
        <f t="shared" si="65"/>
        <v>0.25561111111111112</v>
      </c>
      <c r="S221" s="60"/>
      <c r="Z221" s="60"/>
      <c r="AA221" s="62">
        <f t="shared" si="66"/>
        <v>66</v>
      </c>
      <c r="AB221">
        <f t="shared" si="67"/>
        <v>22.338204592901882</v>
      </c>
    </row>
    <row r="222" spans="3:28" x14ac:dyDescent="0.2">
      <c r="C222" s="61">
        <f t="shared" si="72"/>
        <v>67</v>
      </c>
      <c r="D222">
        <f t="shared" si="73"/>
        <v>1.0089999999999999</v>
      </c>
      <c r="P222" s="60"/>
      <c r="Q222" s="62">
        <f t="shared" si="64"/>
        <v>67</v>
      </c>
      <c r="R222">
        <f>D222-$D$197</f>
        <v>0.96761111111111098</v>
      </c>
      <c r="S222" s="60"/>
      <c r="Z222" s="60"/>
      <c r="AA222" s="62">
        <f t="shared" si="66"/>
        <v>67</v>
      </c>
      <c r="AB222">
        <f t="shared" si="67"/>
        <v>84.56085837743359</v>
      </c>
    </row>
    <row r="223" spans="3:28" x14ac:dyDescent="0.2">
      <c r="C223" s="61">
        <f t="shared" si="72"/>
        <v>68</v>
      </c>
      <c r="D223">
        <f t="shared" si="73"/>
        <v>1.048</v>
      </c>
      <c r="P223" s="60"/>
      <c r="Q223" s="62">
        <f t="shared" si="64"/>
        <v>68</v>
      </c>
      <c r="R223">
        <f t="shared" si="65"/>
        <v>1.0066111111111111</v>
      </c>
      <c r="S223" s="60"/>
      <c r="Z223" s="60"/>
      <c r="AA223" s="62">
        <f t="shared" si="66"/>
        <v>68</v>
      </c>
      <c r="AB223">
        <f t="shared" si="67"/>
        <v>87.96912171675487</v>
      </c>
    </row>
    <row r="224" spans="3:28" x14ac:dyDescent="0.2">
      <c r="C224" s="61">
        <f t="shared" si="72"/>
        <v>69</v>
      </c>
      <c r="D224">
        <f t="shared" si="73"/>
        <v>1.1990000000000001</v>
      </c>
      <c r="P224" s="60"/>
      <c r="Q224" s="62">
        <f t="shared" si="64"/>
        <v>69</v>
      </c>
      <c r="R224">
        <f t="shared" si="65"/>
        <v>1.1576111111111111</v>
      </c>
      <c r="S224" s="60"/>
      <c r="Z224" s="60"/>
      <c r="AA224" s="62">
        <f t="shared" si="66"/>
        <v>69</v>
      </c>
      <c r="AB224">
        <f t="shared" si="67"/>
        <v>101.16521823566541</v>
      </c>
    </row>
    <row r="225" spans="3:28" x14ac:dyDescent="0.2">
      <c r="C225" s="61">
        <f t="shared" si="72"/>
        <v>70</v>
      </c>
      <c r="D225">
        <f t="shared" si="73"/>
        <v>1.018</v>
      </c>
      <c r="P225" s="60"/>
      <c r="Q225" s="62">
        <f t="shared" si="64"/>
        <v>70</v>
      </c>
      <c r="R225">
        <f t="shared" si="65"/>
        <v>0.9766111111111111</v>
      </c>
      <c r="S225" s="60"/>
      <c r="Z225" s="60"/>
      <c r="AA225" s="62">
        <f t="shared" si="66"/>
        <v>70</v>
      </c>
      <c r="AB225">
        <f t="shared" si="67"/>
        <v>85.347380686507748</v>
      </c>
    </row>
    <row r="226" spans="3:28" x14ac:dyDescent="0.2">
      <c r="C226" s="61">
        <f t="shared" ref="C226:C231" si="74">X188</f>
        <v>71</v>
      </c>
      <c r="D226">
        <f t="shared" ref="D226:D231" si="75">J188</f>
        <v>4.2999999999999997E-2</v>
      </c>
      <c r="P226" s="60"/>
      <c r="Q226" s="62">
        <f t="shared" si="64"/>
        <v>71</v>
      </c>
      <c r="R226">
        <f t="shared" si="65"/>
        <v>1.6111111111111048E-3</v>
      </c>
      <c r="S226" s="60"/>
      <c r="Z226" s="60"/>
      <c r="AA226" s="62">
        <f t="shared" si="66"/>
        <v>71</v>
      </c>
      <c r="AB226">
        <f t="shared" si="67"/>
        <v>0.14079720347623387</v>
      </c>
    </row>
    <row r="227" spans="3:28" x14ac:dyDescent="0.2">
      <c r="C227" s="61">
        <f t="shared" si="74"/>
        <v>72</v>
      </c>
      <c r="D227">
        <f t="shared" si="75"/>
        <v>4.9000000000000002E-2</v>
      </c>
      <c r="P227" s="60"/>
      <c r="Q227" s="62">
        <f t="shared" si="64"/>
        <v>72</v>
      </c>
      <c r="R227">
        <f t="shared" si="65"/>
        <v>7.6111111111111102E-3</v>
      </c>
      <c r="S227" s="60"/>
      <c r="Z227" s="60"/>
      <c r="AA227" s="62">
        <f t="shared" si="66"/>
        <v>72</v>
      </c>
      <c r="AB227">
        <f t="shared" si="67"/>
        <v>0.66514540952565904</v>
      </c>
    </row>
    <row r="228" spans="3:28" x14ac:dyDescent="0.2">
      <c r="C228" s="61">
        <f t="shared" si="74"/>
        <v>73</v>
      </c>
      <c r="D228">
        <f t="shared" si="75"/>
        <v>0.159</v>
      </c>
      <c r="P228" s="60"/>
      <c r="Q228" s="62">
        <f t="shared" si="64"/>
        <v>73</v>
      </c>
      <c r="R228">
        <f t="shared" si="65"/>
        <v>0.11761111111111111</v>
      </c>
      <c r="S228" s="60"/>
      <c r="Z228" s="60"/>
      <c r="AA228" s="62">
        <f t="shared" si="66"/>
        <v>73</v>
      </c>
      <c r="AB228">
        <f t="shared" si="67"/>
        <v>10.278195853765112</v>
      </c>
    </row>
    <row r="229" spans="3:28" x14ac:dyDescent="0.2">
      <c r="C229" s="61">
        <f t="shared" si="74"/>
        <v>74</v>
      </c>
      <c r="D229">
        <f t="shared" si="75"/>
        <v>0.21199999999999999</v>
      </c>
      <c r="P229" s="60"/>
      <c r="Q229" s="62">
        <f t="shared" si="64"/>
        <v>74</v>
      </c>
      <c r="R229">
        <f t="shared" si="65"/>
        <v>0.1706111111111111</v>
      </c>
      <c r="S229" s="60"/>
      <c r="Z229" s="60"/>
      <c r="AA229" s="62">
        <f t="shared" si="66"/>
        <v>74</v>
      </c>
      <c r="AB229">
        <f t="shared" si="67"/>
        <v>14.90993834053503</v>
      </c>
    </row>
    <row r="230" spans="3:28" x14ac:dyDescent="0.2">
      <c r="C230" s="61">
        <f t="shared" si="74"/>
        <v>75</v>
      </c>
      <c r="D230">
        <f t="shared" si="75"/>
        <v>0.19500000000000001</v>
      </c>
      <c r="P230" s="60"/>
      <c r="Q230" s="62">
        <f t="shared" si="64"/>
        <v>75</v>
      </c>
      <c r="R230">
        <f t="shared" si="65"/>
        <v>0.15361111111111111</v>
      </c>
      <c r="S230" s="60"/>
      <c r="Z230" s="60"/>
      <c r="AA230" s="62">
        <f t="shared" si="66"/>
        <v>75</v>
      </c>
      <c r="AB230">
        <f t="shared" si="67"/>
        <v>13.424285090061661</v>
      </c>
    </row>
    <row r="231" spans="3:28" x14ac:dyDescent="0.2">
      <c r="C231" s="61">
        <f t="shared" si="74"/>
        <v>76</v>
      </c>
      <c r="D231">
        <f t="shared" si="75"/>
        <v>0.66800000000000004</v>
      </c>
      <c r="P231" s="60"/>
      <c r="Q231" s="62">
        <f t="shared" si="64"/>
        <v>76</v>
      </c>
      <c r="R231">
        <f t="shared" si="65"/>
        <v>0.62661111111111112</v>
      </c>
      <c r="S231" s="60"/>
      <c r="Z231" s="60"/>
      <c r="AA231" s="62">
        <f t="shared" si="66"/>
        <v>76</v>
      </c>
      <c r="AB231">
        <f t="shared" si="67"/>
        <v>54.760402000291307</v>
      </c>
    </row>
    <row r="232" spans="3:28" x14ac:dyDescent="0.2">
      <c r="C232" s="61">
        <f t="shared" ref="C232:C237" si="76">Y188</f>
        <v>77</v>
      </c>
      <c r="D232">
        <f t="shared" ref="D232:D237" si="77">K188</f>
        <v>0.30599999999999999</v>
      </c>
      <c r="P232" s="60"/>
      <c r="Q232" s="62">
        <f t="shared" si="64"/>
        <v>77</v>
      </c>
      <c r="R232">
        <f t="shared" si="65"/>
        <v>0.26461111111111113</v>
      </c>
      <c r="S232" s="60"/>
      <c r="Z232" s="60"/>
      <c r="AA232" s="62">
        <f t="shared" si="66"/>
        <v>77</v>
      </c>
      <c r="AB232">
        <f t="shared" si="67"/>
        <v>23.124726901976018</v>
      </c>
    </row>
    <row r="233" spans="3:28" x14ac:dyDescent="0.2">
      <c r="C233" s="61">
        <f t="shared" si="76"/>
        <v>78</v>
      </c>
      <c r="D233">
        <f t="shared" si="77"/>
        <v>0.28000000000000003</v>
      </c>
      <c r="P233" s="60"/>
      <c r="Q233" s="62">
        <f t="shared" si="64"/>
        <v>78</v>
      </c>
      <c r="R233">
        <f t="shared" si="65"/>
        <v>0.23861111111111113</v>
      </c>
      <c r="S233" s="60"/>
      <c r="Z233" s="60"/>
      <c r="AA233" s="62">
        <f t="shared" si="66"/>
        <v>78</v>
      </c>
      <c r="AB233">
        <f t="shared" si="67"/>
        <v>20.852551342428512</v>
      </c>
    </row>
    <row r="234" spans="3:28" x14ac:dyDescent="0.2">
      <c r="C234" s="61">
        <f t="shared" si="76"/>
        <v>79</v>
      </c>
      <c r="D234">
        <f t="shared" si="77"/>
        <v>0.69599999999999995</v>
      </c>
      <c r="P234" s="60"/>
      <c r="Q234" s="62">
        <f t="shared" si="64"/>
        <v>79</v>
      </c>
      <c r="R234">
        <f t="shared" si="65"/>
        <v>0.65461111111111103</v>
      </c>
      <c r="S234" s="60"/>
      <c r="Z234" s="60"/>
      <c r="AA234" s="62">
        <f t="shared" si="66"/>
        <v>79</v>
      </c>
      <c r="AB234">
        <f t="shared" si="67"/>
        <v>57.207360295188622</v>
      </c>
    </row>
    <row r="235" spans="3:28" x14ac:dyDescent="0.2">
      <c r="C235" s="61">
        <f t="shared" si="76"/>
        <v>80</v>
      </c>
      <c r="D235">
        <f t="shared" si="77"/>
        <v>0.79200000000000004</v>
      </c>
      <c r="P235" s="60"/>
      <c r="Q235" s="62">
        <f t="shared" si="64"/>
        <v>80</v>
      </c>
      <c r="R235">
        <f t="shared" si="65"/>
        <v>0.75061111111111112</v>
      </c>
      <c r="S235" s="60"/>
      <c r="Z235" s="60"/>
      <c r="AA235" s="62">
        <f t="shared" si="66"/>
        <v>80</v>
      </c>
      <c r="AB235">
        <f t="shared" si="67"/>
        <v>65.596931591979427</v>
      </c>
    </row>
    <row r="236" spans="3:28" x14ac:dyDescent="0.2">
      <c r="C236" s="61">
        <f t="shared" si="76"/>
        <v>81</v>
      </c>
      <c r="D236">
        <f t="shared" si="77"/>
        <v>0.80100000000000005</v>
      </c>
      <c r="P236" s="60"/>
      <c r="Q236" s="62">
        <f t="shared" si="64"/>
        <v>81</v>
      </c>
      <c r="R236">
        <f t="shared" si="65"/>
        <v>0.75961111111111113</v>
      </c>
      <c r="S236" s="60"/>
      <c r="Z236" s="60"/>
      <c r="AA236" s="62">
        <f t="shared" si="66"/>
        <v>81</v>
      </c>
      <c r="AB236">
        <f t="shared" si="67"/>
        <v>66.383453901053556</v>
      </c>
    </row>
    <row r="237" spans="3:28" x14ac:dyDescent="0.2">
      <c r="C237" s="61">
        <f t="shared" si="76"/>
        <v>82</v>
      </c>
      <c r="D237">
        <f t="shared" si="77"/>
        <v>0.82699999999999996</v>
      </c>
      <c r="P237" s="60"/>
      <c r="Q237" s="62">
        <f t="shared" si="64"/>
        <v>82</v>
      </c>
      <c r="R237">
        <f t="shared" si="65"/>
        <v>0.78561111111111104</v>
      </c>
      <c r="S237" s="60"/>
      <c r="Z237" s="60"/>
      <c r="AA237" s="62">
        <f t="shared" si="66"/>
        <v>82</v>
      </c>
      <c r="AB237">
        <f t="shared" si="67"/>
        <v>68.655629460601048</v>
      </c>
    </row>
    <row r="238" spans="3:28" x14ac:dyDescent="0.2">
      <c r="C238" s="61">
        <f t="shared" ref="C238:C243" si="78">AA188</f>
        <v>83</v>
      </c>
      <c r="D238">
        <f t="shared" ref="D238:D243" si="79">M188</f>
        <v>6.2E-2</v>
      </c>
      <c r="P238" s="60"/>
      <c r="Q238" s="62">
        <f t="shared" si="64"/>
        <v>83</v>
      </c>
      <c r="R238">
        <f t="shared" si="65"/>
        <v>2.0611111111111108E-2</v>
      </c>
      <c r="S238" s="60"/>
      <c r="Z238" s="60"/>
      <c r="AA238" s="62">
        <f t="shared" si="66"/>
        <v>83</v>
      </c>
      <c r="AB238">
        <f t="shared" si="67"/>
        <v>1.8012331892994125</v>
      </c>
    </row>
    <row r="239" spans="3:28" x14ac:dyDescent="0.2">
      <c r="C239" s="61">
        <f t="shared" si="78"/>
        <v>84</v>
      </c>
      <c r="D239">
        <f t="shared" si="79"/>
        <v>0.45100000000000001</v>
      </c>
      <c r="P239" s="60"/>
      <c r="Q239" s="62">
        <f t="shared" si="64"/>
        <v>84</v>
      </c>
      <c r="R239">
        <f t="shared" si="65"/>
        <v>0.40961111111111115</v>
      </c>
      <c r="Z239" s="60"/>
      <c r="AA239" s="62">
        <f t="shared" si="66"/>
        <v>84</v>
      </c>
      <c r="AB239">
        <f t="shared" si="67"/>
        <v>35.796475214837116</v>
      </c>
    </row>
    <row r="240" spans="3:28" x14ac:dyDescent="0.2">
      <c r="C240" s="61">
        <f t="shared" si="78"/>
        <v>85</v>
      </c>
      <c r="D240">
        <f t="shared" si="79"/>
        <v>0.312</v>
      </c>
      <c r="P240" s="60"/>
      <c r="Q240" s="62">
        <f t="shared" si="64"/>
        <v>85</v>
      </c>
      <c r="R240">
        <f t="shared" si="65"/>
        <v>0.27061111111111114</v>
      </c>
      <c r="S240" s="58"/>
      <c r="Z240" s="60"/>
      <c r="AA240" s="62">
        <f t="shared" si="66"/>
        <v>85</v>
      </c>
      <c r="AB240">
        <f t="shared" si="67"/>
        <v>23.649075108025443</v>
      </c>
    </row>
    <row r="241" spans="2:28" x14ac:dyDescent="0.2">
      <c r="C241" s="61">
        <f t="shared" si="78"/>
        <v>86</v>
      </c>
      <c r="D241">
        <f t="shared" si="79"/>
        <v>5.6000000000000001E-2</v>
      </c>
      <c r="P241" s="60"/>
      <c r="Q241" s="62">
        <f t="shared" si="64"/>
        <v>86</v>
      </c>
      <c r="R241">
        <f t="shared" si="65"/>
        <v>1.4611111111111109E-2</v>
      </c>
      <c r="Z241" s="60"/>
      <c r="AA241" s="62">
        <f t="shared" si="66"/>
        <v>86</v>
      </c>
      <c r="AB241">
        <f t="shared" si="67"/>
        <v>1.2768849832499878</v>
      </c>
    </row>
    <row r="242" spans="2:28" x14ac:dyDescent="0.2">
      <c r="C242" s="61">
        <f t="shared" si="78"/>
        <v>87</v>
      </c>
      <c r="D242">
        <f t="shared" si="79"/>
        <v>0.92200000000000004</v>
      </c>
      <c r="P242" s="60"/>
      <c r="Q242" s="62">
        <f t="shared" si="64"/>
        <v>87</v>
      </c>
      <c r="R242">
        <f t="shared" si="65"/>
        <v>0.88061111111111112</v>
      </c>
      <c r="Z242" s="60"/>
      <c r="AA242" s="62">
        <f t="shared" si="66"/>
        <v>87</v>
      </c>
      <c r="AB242">
        <f t="shared" si="67"/>
        <v>76.957809389716957</v>
      </c>
    </row>
    <row r="243" spans="2:28" x14ac:dyDescent="0.2">
      <c r="C243" s="61">
        <f t="shared" si="78"/>
        <v>88</v>
      </c>
      <c r="D243">
        <f t="shared" si="79"/>
        <v>0.88400000000000001</v>
      </c>
      <c r="P243" s="60"/>
      <c r="Q243" s="62">
        <f t="shared" si="64"/>
        <v>88</v>
      </c>
      <c r="R243">
        <f t="shared" si="65"/>
        <v>0.84261111111111109</v>
      </c>
      <c r="Z243" s="60"/>
      <c r="AA243" s="62">
        <f t="shared" si="66"/>
        <v>88</v>
      </c>
      <c r="AB243">
        <f>R243*100/$AF$198</f>
        <v>73.636937418070588</v>
      </c>
    </row>
    <row r="245" spans="2:28" x14ac:dyDescent="0.2">
      <c r="B245" s="7" t="s">
        <v>86</v>
      </c>
      <c r="C245" s="40">
        <v>45380</v>
      </c>
      <c r="D245" s="7" t="s">
        <v>67</v>
      </c>
      <c r="E245" s="41"/>
    </row>
    <row r="246" spans="2:28" x14ac:dyDescent="0.2">
      <c r="B246" s="42"/>
      <c r="C246" s="42">
        <v>1</v>
      </c>
      <c r="D246" s="42">
        <v>2</v>
      </c>
      <c r="E246" s="42">
        <v>3</v>
      </c>
      <c r="F246" s="42">
        <v>4</v>
      </c>
      <c r="G246" s="42">
        <v>5</v>
      </c>
      <c r="H246" s="42">
        <v>6</v>
      </c>
      <c r="I246" s="42">
        <v>7</v>
      </c>
      <c r="J246" s="42">
        <v>8</v>
      </c>
      <c r="K246" s="42">
        <v>9</v>
      </c>
      <c r="L246" s="42">
        <v>10</v>
      </c>
      <c r="M246" s="42">
        <v>11</v>
      </c>
      <c r="N246" s="42">
        <v>12</v>
      </c>
      <c r="Q246" s="1">
        <v>1</v>
      </c>
      <c r="R246" s="1">
        <v>2</v>
      </c>
      <c r="S246" s="1">
        <v>3</v>
      </c>
      <c r="T246" s="1">
        <v>4</v>
      </c>
      <c r="U246" s="1">
        <v>5</v>
      </c>
      <c r="V246" s="1">
        <v>6</v>
      </c>
      <c r="W246" s="1">
        <v>7</v>
      </c>
      <c r="X246" s="1">
        <v>8</v>
      </c>
      <c r="Y246" s="1">
        <v>9</v>
      </c>
      <c r="Z246" s="1">
        <v>10</v>
      </c>
      <c r="AA246" s="1">
        <v>11</v>
      </c>
      <c r="AB246" s="1">
        <v>12</v>
      </c>
    </row>
    <row r="247" spans="2:28" x14ac:dyDescent="0.2">
      <c r="B247" s="43" t="s">
        <v>0</v>
      </c>
      <c r="C247" s="44">
        <v>4.1000000000000002E-2</v>
      </c>
      <c r="D247" s="44">
        <v>4.1000000000000002E-2</v>
      </c>
      <c r="E247" s="44">
        <v>4.1000000000000002E-2</v>
      </c>
      <c r="F247" s="44">
        <v>4.2000000000000003E-2</v>
      </c>
      <c r="G247" s="44">
        <v>0.04</v>
      </c>
      <c r="H247" s="44">
        <v>4.1000000000000002E-2</v>
      </c>
      <c r="I247" s="44">
        <v>4.1000000000000002E-2</v>
      </c>
      <c r="J247" s="44">
        <v>4.1000000000000002E-2</v>
      </c>
      <c r="K247" s="44">
        <v>4.1000000000000002E-2</v>
      </c>
      <c r="L247" s="44">
        <v>4.1000000000000002E-2</v>
      </c>
      <c r="M247" s="44">
        <v>0.04</v>
      </c>
      <c r="N247" s="44">
        <v>4.3999999999999997E-2</v>
      </c>
      <c r="O247" s="18">
        <v>570</v>
      </c>
      <c r="P247" s="1" t="s">
        <v>0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2:28" x14ac:dyDescent="0.2">
      <c r="B248" s="43" t="s">
        <v>1</v>
      </c>
      <c r="C248" s="44">
        <v>4.2000000000000003E-2</v>
      </c>
      <c r="D248" s="54">
        <v>1.1060000000000001</v>
      </c>
      <c r="E248" s="48">
        <v>0.20300000000000001</v>
      </c>
      <c r="F248" s="44">
        <v>7.1999999999999995E-2</v>
      </c>
      <c r="G248" s="52">
        <v>0.45500000000000002</v>
      </c>
      <c r="H248" s="45">
        <v>1.0269999999999999</v>
      </c>
      <c r="I248" s="50">
        <v>0.35399999999999998</v>
      </c>
      <c r="J248" s="44">
        <v>4.2000000000000003E-2</v>
      </c>
      <c r="K248" s="48">
        <v>0.27500000000000002</v>
      </c>
      <c r="L248" s="49">
        <v>0.97499999999999998</v>
      </c>
      <c r="M248" s="44">
        <v>5.5E-2</v>
      </c>
      <c r="N248" s="44">
        <v>0.04</v>
      </c>
      <c r="O248" s="18">
        <v>570</v>
      </c>
      <c r="P248" s="1" t="s">
        <v>1</v>
      </c>
      <c r="Q248" s="2"/>
      <c r="R248" s="3" t="s">
        <v>2</v>
      </c>
      <c r="S248" s="4">
        <v>47</v>
      </c>
      <c r="T248" s="4">
        <v>53</v>
      </c>
      <c r="U248" s="4">
        <v>59</v>
      </c>
      <c r="V248" s="3" t="s">
        <v>2</v>
      </c>
      <c r="W248" s="4">
        <v>65</v>
      </c>
      <c r="X248" s="4">
        <v>71</v>
      </c>
      <c r="Y248" s="4">
        <v>77</v>
      </c>
      <c r="Z248" s="3" t="s">
        <v>2</v>
      </c>
      <c r="AA248" s="4">
        <v>83</v>
      </c>
      <c r="AB248" s="5"/>
    </row>
    <row r="249" spans="2:28" x14ac:dyDescent="0.2">
      <c r="B249" s="43" t="s">
        <v>3</v>
      </c>
      <c r="C249" s="44">
        <v>4.1000000000000002E-2</v>
      </c>
      <c r="D249" s="48">
        <v>0.224</v>
      </c>
      <c r="E249" s="50">
        <v>0.32800000000000001</v>
      </c>
      <c r="F249" s="47">
        <v>0.19800000000000001</v>
      </c>
      <c r="G249" s="52">
        <v>0.46800000000000003</v>
      </c>
      <c r="H249" s="47">
        <v>0.13600000000000001</v>
      </c>
      <c r="I249" s="48">
        <v>0.214</v>
      </c>
      <c r="J249" s="44">
        <v>4.9000000000000002E-2</v>
      </c>
      <c r="K249" s="48">
        <v>0.254</v>
      </c>
      <c r="L249" s="47">
        <v>0.156</v>
      </c>
      <c r="M249" s="50">
        <v>0.32100000000000001</v>
      </c>
      <c r="N249" s="44">
        <v>4.1000000000000002E-2</v>
      </c>
      <c r="O249" s="18">
        <v>570</v>
      </c>
      <c r="P249" s="1" t="s">
        <v>3</v>
      </c>
      <c r="Q249" s="2"/>
      <c r="R249" s="6" t="s">
        <v>4</v>
      </c>
      <c r="S249" s="4">
        <v>48</v>
      </c>
      <c r="T249" s="4">
        <v>54</v>
      </c>
      <c r="U249" s="4">
        <v>60</v>
      </c>
      <c r="V249" s="6" t="s">
        <v>4</v>
      </c>
      <c r="W249" s="4">
        <v>66</v>
      </c>
      <c r="X249" s="4">
        <v>72</v>
      </c>
      <c r="Y249" s="4">
        <v>78</v>
      </c>
      <c r="Z249" s="6" t="s">
        <v>4</v>
      </c>
      <c r="AA249" s="4">
        <v>84</v>
      </c>
      <c r="AB249" s="5"/>
    </row>
    <row r="250" spans="2:28" x14ac:dyDescent="0.2">
      <c r="B250" s="43" t="s">
        <v>5</v>
      </c>
      <c r="C250" s="44">
        <v>4.2000000000000003E-2</v>
      </c>
      <c r="D250" s="54">
        <v>1.1120000000000001</v>
      </c>
      <c r="E250" s="52">
        <v>0.49</v>
      </c>
      <c r="F250" s="55">
        <v>0.78</v>
      </c>
      <c r="G250" s="52">
        <v>0.52400000000000002</v>
      </c>
      <c r="H250" s="45">
        <v>1.0840000000000001</v>
      </c>
      <c r="I250" s="67">
        <v>0.85899999999999999</v>
      </c>
      <c r="J250" s="44">
        <v>0.1</v>
      </c>
      <c r="K250" s="56">
        <v>0.71</v>
      </c>
      <c r="L250" s="45">
        <v>1.083</v>
      </c>
      <c r="M250" s="48">
        <v>0.254</v>
      </c>
      <c r="N250" s="44">
        <v>4.1000000000000002E-2</v>
      </c>
      <c r="O250" s="18">
        <v>570</v>
      </c>
      <c r="P250" s="1" t="s">
        <v>5</v>
      </c>
      <c r="Q250" s="2"/>
      <c r="R250" s="3" t="s">
        <v>2</v>
      </c>
      <c r="S250" s="4">
        <v>49</v>
      </c>
      <c r="T250" s="4">
        <v>55</v>
      </c>
      <c r="U250" s="4">
        <v>61</v>
      </c>
      <c r="V250" s="3" t="s">
        <v>2</v>
      </c>
      <c r="W250" s="4">
        <v>67</v>
      </c>
      <c r="X250" s="4">
        <v>73</v>
      </c>
      <c r="Y250" s="4">
        <v>79</v>
      </c>
      <c r="Z250" s="3" t="s">
        <v>2</v>
      </c>
      <c r="AA250" s="4">
        <v>85</v>
      </c>
      <c r="AB250" s="5"/>
    </row>
    <row r="251" spans="2:28" x14ac:dyDescent="0.2">
      <c r="B251" s="43" t="s">
        <v>6</v>
      </c>
      <c r="C251" s="44">
        <v>4.2000000000000003E-2</v>
      </c>
      <c r="D251" s="47">
        <v>0.17799999999999999</v>
      </c>
      <c r="E251" s="53">
        <v>0.57299999999999995</v>
      </c>
      <c r="F251" s="56">
        <v>0.754</v>
      </c>
      <c r="G251" s="53">
        <v>0.60299999999999998</v>
      </c>
      <c r="H251" s="47">
        <v>0.17499999999999999</v>
      </c>
      <c r="I251" s="67">
        <v>0.88500000000000001</v>
      </c>
      <c r="J251" s="47">
        <v>0.13100000000000001</v>
      </c>
      <c r="K251" s="53">
        <v>0.59699999999999998</v>
      </c>
      <c r="L251" s="47">
        <v>0.14899999999999999</v>
      </c>
      <c r="M251" s="44">
        <v>4.9000000000000002E-2</v>
      </c>
      <c r="N251" s="44">
        <v>4.2999999999999997E-2</v>
      </c>
      <c r="O251" s="18">
        <v>570</v>
      </c>
      <c r="P251" s="1" t="s">
        <v>6</v>
      </c>
      <c r="Q251" s="2"/>
      <c r="R251" s="6" t="s">
        <v>4</v>
      </c>
      <c r="S251" s="4">
        <v>50</v>
      </c>
      <c r="T251" s="4">
        <v>56</v>
      </c>
      <c r="U251" s="4">
        <v>62</v>
      </c>
      <c r="V251" s="6" t="s">
        <v>4</v>
      </c>
      <c r="W251" s="4">
        <v>68</v>
      </c>
      <c r="X251" s="4">
        <v>74</v>
      </c>
      <c r="Y251" s="4">
        <v>80</v>
      </c>
      <c r="Z251" s="6" t="s">
        <v>4</v>
      </c>
      <c r="AA251" s="4">
        <v>86</v>
      </c>
      <c r="AB251" s="5"/>
    </row>
    <row r="252" spans="2:28" x14ac:dyDescent="0.2">
      <c r="B252" s="43" t="s">
        <v>7</v>
      </c>
      <c r="C252" s="44">
        <v>4.2000000000000003E-2</v>
      </c>
      <c r="D252" s="54">
        <v>1.147</v>
      </c>
      <c r="E252" s="44">
        <v>6.8000000000000005E-2</v>
      </c>
      <c r="F252" s="56">
        <v>0.76300000000000001</v>
      </c>
      <c r="G252" s="51">
        <v>0.4</v>
      </c>
      <c r="H252" s="54">
        <v>1.177</v>
      </c>
      <c r="I252" s="49">
        <v>1.014</v>
      </c>
      <c r="J252" s="44">
        <v>0.11899999999999999</v>
      </c>
      <c r="K252" s="56">
        <v>0.70199999999999996</v>
      </c>
      <c r="L252" s="54">
        <v>1.137</v>
      </c>
      <c r="M252" s="55">
        <v>0.82399999999999995</v>
      </c>
      <c r="N252" s="44">
        <v>4.2999999999999997E-2</v>
      </c>
      <c r="O252" s="18">
        <v>570</v>
      </c>
      <c r="P252" s="1" t="s">
        <v>7</v>
      </c>
      <c r="Q252" s="2"/>
      <c r="R252" s="3" t="s">
        <v>2</v>
      </c>
      <c r="S252" s="4">
        <v>51</v>
      </c>
      <c r="T252" s="4">
        <v>57</v>
      </c>
      <c r="U252" s="4">
        <v>63</v>
      </c>
      <c r="V252" s="3" t="s">
        <v>2</v>
      </c>
      <c r="W252" s="4">
        <v>69</v>
      </c>
      <c r="X252" s="4">
        <v>75</v>
      </c>
      <c r="Y252" s="4">
        <v>81</v>
      </c>
      <c r="Z252" s="3" t="s">
        <v>2</v>
      </c>
      <c r="AA252" s="4">
        <v>87</v>
      </c>
      <c r="AB252" s="5"/>
    </row>
    <row r="253" spans="2:28" x14ac:dyDescent="0.2">
      <c r="B253" s="43" t="s">
        <v>8</v>
      </c>
      <c r="C253" s="44">
        <v>4.1000000000000002E-2</v>
      </c>
      <c r="D253" s="47">
        <v>0.184</v>
      </c>
      <c r="E253" s="44">
        <v>4.2999999999999997E-2</v>
      </c>
      <c r="F253" s="67">
        <v>0.93200000000000005</v>
      </c>
      <c r="G253" s="51">
        <v>0.374</v>
      </c>
      <c r="H253" s="47">
        <v>0.19400000000000001</v>
      </c>
      <c r="I253" s="45">
        <v>1.0209999999999999</v>
      </c>
      <c r="J253" s="53">
        <v>0.53900000000000003</v>
      </c>
      <c r="K253" s="56">
        <v>0.72299999999999998</v>
      </c>
      <c r="L253" s="48">
        <v>0.215</v>
      </c>
      <c r="M253" s="67">
        <v>0.92500000000000004</v>
      </c>
      <c r="N253" s="44">
        <v>4.1000000000000002E-2</v>
      </c>
      <c r="O253" s="18">
        <v>570</v>
      </c>
      <c r="P253" s="1" t="s">
        <v>8</v>
      </c>
      <c r="Q253" s="2"/>
      <c r="R253" s="6" t="s">
        <v>4</v>
      </c>
      <c r="S253" s="4">
        <v>52</v>
      </c>
      <c r="T253" s="4">
        <v>58</v>
      </c>
      <c r="U253" s="4">
        <v>64</v>
      </c>
      <c r="V253" s="6" t="s">
        <v>4</v>
      </c>
      <c r="W253" s="4">
        <v>70</v>
      </c>
      <c r="X253" s="4">
        <v>76</v>
      </c>
      <c r="Y253" s="4">
        <v>82</v>
      </c>
      <c r="Z253" s="6" t="s">
        <v>4</v>
      </c>
      <c r="AA253" s="4">
        <v>88</v>
      </c>
      <c r="AB253" s="5"/>
    </row>
    <row r="254" spans="2:28" x14ac:dyDescent="0.2">
      <c r="B254" s="43" t="s">
        <v>9</v>
      </c>
      <c r="C254" s="44">
        <v>4.2000000000000003E-2</v>
      </c>
      <c r="D254" s="44">
        <v>4.1000000000000002E-2</v>
      </c>
      <c r="E254" s="44">
        <v>4.1000000000000002E-2</v>
      </c>
      <c r="F254" s="44">
        <v>4.1000000000000002E-2</v>
      </c>
      <c r="G254" s="44">
        <v>4.1000000000000002E-2</v>
      </c>
      <c r="H254" s="44">
        <v>4.1000000000000002E-2</v>
      </c>
      <c r="I254" s="44">
        <v>4.1000000000000002E-2</v>
      </c>
      <c r="J254" s="44">
        <v>0.04</v>
      </c>
      <c r="K254" s="44">
        <v>4.1000000000000002E-2</v>
      </c>
      <c r="L254" s="44">
        <v>4.1000000000000002E-2</v>
      </c>
      <c r="M254" s="44">
        <v>0.04</v>
      </c>
      <c r="N254" s="44">
        <v>4.1000000000000002E-2</v>
      </c>
      <c r="O254" s="18">
        <v>570</v>
      </c>
      <c r="P254" s="1" t="s">
        <v>9</v>
      </c>
      <c r="Q254" s="2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6" spans="2:28" x14ac:dyDescent="0.2">
      <c r="B256" s="57" t="s">
        <v>42</v>
      </c>
      <c r="P256" s="57" t="s">
        <v>43</v>
      </c>
    </row>
    <row r="257" spans="3:38" x14ac:dyDescent="0.2">
      <c r="C257" s="58" t="s">
        <v>44</v>
      </c>
      <c r="D257">
        <f>AVERAGE(D254:N254,N247:N253,D247:M247,C247:C254)</f>
        <v>4.122222222222223E-2</v>
      </c>
      <c r="AE257" t="s">
        <v>45</v>
      </c>
      <c r="AH257" t="s">
        <v>46</v>
      </c>
    </row>
    <row r="258" spans="3:38" x14ac:dyDescent="0.2">
      <c r="C258" s="58" t="s">
        <v>47</v>
      </c>
      <c r="D258">
        <f>D248</f>
        <v>1.1060000000000001</v>
      </c>
      <c r="E258">
        <f>D250</f>
        <v>1.1120000000000001</v>
      </c>
      <c r="F258">
        <f>D252</f>
        <v>1.147</v>
      </c>
      <c r="G258">
        <f>H248</f>
        <v>1.0269999999999999</v>
      </c>
      <c r="H258">
        <f>H250</f>
        <v>1.0840000000000001</v>
      </c>
      <c r="I258">
        <f>H252</f>
        <v>1.177</v>
      </c>
      <c r="J258">
        <f>L248</f>
        <v>0.97499999999999998</v>
      </c>
      <c r="K258">
        <f>L250</f>
        <v>1.083</v>
      </c>
      <c r="L258">
        <f>L252</f>
        <v>1.137</v>
      </c>
      <c r="Q258" s="58" t="s">
        <v>47</v>
      </c>
      <c r="R258">
        <f>D258-$D$257</f>
        <v>1.0647777777777778</v>
      </c>
      <c r="S258">
        <f t="shared" ref="S258:Y258" si="80">E258-$D$257</f>
        <v>1.0707777777777778</v>
      </c>
      <c r="T258">
        <f t="shared" si="80"/>
        <v>1.1057777777777777</v>
      </c>
      <c r="U258">
        <f t="shared" si="80"/>
        <v>0.98577777777777764</v>
      </c>
      <c r="V258">
        <f t="shared" si="80"/>
        <v>1.0427777777777778</v>
      </c>
      <c r="W258">
        <f t="shared" si="80"/>
        <v>1.1357777777777778</v>
      </c>
      <c r="X258">
        <f t="shared" si="80"/>
        <v>0.93377777777777771</v>
      </c>
      <c r="Y258">
        <f t="shared" si="80"/>
        <v>1.0417777777777777</v>
      </c>
      <c r="Z258">
        <f>L258-$D$257</f>
        <v>1.0957777777777777</v>
      </c>
      <c r="AE258" t="s">
        <v>48</v>
      </c>
      <c r="AF258">
        <f>AVERAGE(R258:Z258)</f>
        <v>1.0529999999999999</v>
      </c>
      <c r="AH258" t="s">
        <v>48</v>
      </c>
      <c r="AI258">
        <f>AVERAGE(R260:Z260)</f>
        <v>0.13777777777777778</v>
      </c>
      <c r="AK258" s="59" t="s">
        <v>49</v>
      </c>
      <c r="AL258" s="59">
        <f>1- ((3*(AF259+AI259))/(AF258-AI258))</f>
        <v>0.70030101317464166</v>
      </c>
    </row>
    <row r="259" spans="3:38" x14ac:dyDescent="0.2">
      <c r="C259" s="58"/>
      <c r="G259" s="60"/>
      <c r="Q259" s="58"/>
      <c r="AE259" t="s">
        <v>50</v>
      </c>
      <c r="AF259">
        <f>STDEV(R258:Z258)</f>
        <v>6.2134486756103877E-2</v>
      </c>
      <c r="AH259" t="s">
        <v>50</v>
      </c>
      <c r="AI259">
        <f>STDEV(R260:Z260)</f>
        <v>2.929590415058041E-2</v>
      </c>
      <c r="AK259" s="59"/>
      <c r="AL259" s="59"/>
    </row>
    <row r="260" spans="3:38" x14ac:dyDescent="0.2">
      <c r="C260" s="58" t="s">
        <v>4</v>
      </c>
      <c r="D260">
        <f>D249</f>
        <v>0.224</v>
      </c>
      <c r="E260">
        <f>D251</f>
        <v>0.17799999999999999</v>
      </c>
      <c r="F260">
        <f>D253</f>
        <v>0.184</v>
      </c>
      <c r="G260">
        <f>H249</f>
        <v>0.13600000000000001</v>
      </c>
      <c r="H260">
        <f>H251</f>
        <v>0.17499999999999999</v>
      </c>
      <c r="I260">
        <f>H253</f>
        <v>0.19400000000000001</v>
      </c>
      <c r="J260">
        <f>L249</f>
        <v>0.156</v>
      </c>
      <c r="K260">
        <f>L251</f>
        <v>0.14899999999999999</v>
      </c>
      <c r="L260">
        <f>L253</f>
        <v>0.215</v>
      </c>
      <c r="Q260" s="58" t="s">
        <v>4</v>
      </c>
      <c r="R260">
        <f>D260-$D$257</f>
        <v>0.18277777777777776</v>
      </c>
      <c r="S260">
        <f t="shared" ref="S260:Y260" si="81">E260-$D$257</f>
        <v>0.13677777777777778</v>
      </c>
      <c r="T260">
        <f t="shared" si="81"/>
        <v>0.14277777777777778</v>
      </c>
      <c r="U260">
        <f t="shared" si="81"/>
        <v>9.477777777777778E-2</v>
      </c>
      <c r="V260">
        <f t="shared" si="81"/>
        <v>0.13377777777777777</v>
      </c>
      <c r="W260">
        <f t="shared" si="81"/>
        <v>0.15277777777777779</v>
      </c>
      <c r="X260">
        <f t="shared" si="81"/>
        <v>0.11477777777777777</v>
      </c>
      <c r="Y260">
        <f t="shared" si="81"/>
        <v>0.10777777777777776</v>
      </c>
      <c r="Z260">
        <f>L260-$D$257</f>
        <v>0.17377777777777775</v>
      </c>
      <c r="AB260" s="58" t="s">
        <v>51</v>
      </c>
      <c r="AC260" s="58" t="s">
        <v>52</v>
      </c>
      <c r="AD260" s="58"/>
      <c r="AE260" t="s">
        <v>53</v>
      </c>
      <c r="AF260">
        <f>AF259*100/AF258</f>
        <v>5.9007109929823249</v>
      </c>
    </row>
    <row r="261" spans="3:38" x14ac:dyDescent="0.2">
      <c r="C261" s="58"/>
      <c r="D261" s="60"/>
      <c r="Q261" s="58"/>
      <c r="AB261" s="58"/>
      <c r="AC261" s="58"/>
      <c r="AD261" s="58"/>
      <c r="AE261" t="s">
        <v>54</v>
      </c>
      <c r="AF261">
        <f>3*AF259</f>
        <v>0.18640346026831162</v>
      </c>
    </row>
    <row r="262" spans="3:38" x14ac:dyDescent="0.2">
      <c r="C262" s="61">
        <f t="shared" ref="C262:C267" si="82">S248</f>
        <v>47</v>
      </c>
      <c r="D262">
        <f t="shared" ref="D262:D267" si="83">E248</f>
        <v>0.20300000000000001</v>
      </c>
      <c r="P262" s="60"/>
      <c r="Q262" s="62">
        <f>C262</f>
        <v>47</v>
      </c>
      <c r="R262">
        <f>D262-$D$257</f>
        <v>0.1617777777777778</v>
      </c>
      <c r="S262" s="60"/>
      <c r="Z262" s="60"/>
      <c r="AA262" s="62">
        <f>C262</f>
        <v>47</v>
      </c>
      <c r="AB262">
        <f>R262*100/$AF$258</f>
        <v>15.36351165980796</v>
      </c>
    </row>
    <row r="263" spans="3:38" x14ac:dyDescent="0.2">
      <c r="C263" s="61">
        <f t="shared" si="82"/>
        <v>48</v>
      </c>
      <c r="D263">
        <f t="shared" si="83"/>
        <v>0.32800000000000001</v>
      </c>
      <c r="P263" s="60"/>
      <c r="Q263" s="62">
        <f t="shared" ref="Q263:Q303" si="84">C263</f>
        <v>48</v>
      </c>
      <c r="R263">
        <f t="shared" ref="R263:R303" si="85">D263-$D$257</f>
        <v>0.2867777777777778</v>
      </c>
      <c r="S263" s="60"/>
      <c r="Z263" s="60"/>
      <c r="AA263" s="62">
        <f t="shared" ref="AA263:AA303" si="86">C263</f>
        <v>48</v>
      </c>
      <c r="AB263">
        <f>R263*100/$AF$258</f>
        <v>27.234356863986498</v>
      </c>
    </row>
    <row r="264" spans="3:38" x14ac:dyDescent="0.2">
      <c r="C264" s="61">
        <f t="shared" si="82"/>
        <v>49</v>
      </c>
      <c r="D264">
        <f t="shared" si="83"/>
        <v>0.49</v>
      </c>
      <c r="P264" s="60"/>
      <c r="Q264" s="62">
        <f t="shared" si="84"/>
        <v>49</v>
      </c>
      <c r="R264">
        <f t="shared" si="85"/>
        <v>0.44877777777777778</v>
      </c>
      <c r="S264" s="60"/>
      <c r="Z264" s="60"/>
      <c r="AA264" s="62">
        <f t="shared" si="86"/>
        <v>49</v>
      </c>
      <c r="AB264">
        <f t="shared" ref="AB264:AB302" si="87">R264*100/$AF$258</f>
        <v>42.618972248601885</v>
      </c>
    </row>
    <row r="265" spans="3:38" x14ac:dyDescent="0.2">
      <c r="C265" s="61">
        <f t="shared" si="82"/>
        <v>50</v>
      </c>
      <c r="D265">
        <f t="shared" si="83"/>
        <v>0.57299999999999995</v>
      </c>
      <c r="P265" s="60"/>
      <c r="Q265" s="62">
        <f>C265</f>
        <v>50</v>
      </c>
      <c r="R265">
        <f>D265-$D$257</f>
        <v>0.53177777777777768</v>
      </c>
      <c r="S265" s="60"/>
      <c r="Z265" s="60"/>
      <c r="AA265" s="62">
        <f t="shared" si="86"/>
        <v>50</v>
      </c>
      <c r="AB265">
        <f t="shared" si="87"/>
        <v>50.501213464176423</v>
      </c>
    </row>
    <row r="266" spans="3:38" x14ac:dyDescent="0.2">
      <c r="C266" s="61">
        <f t="shared" si="82"/>
        <v>51</v>
      </c>
      <c r="D266">
        <f t="shared" si="83"/>
        <v>6.8000000000000005E-2</v>
      </c>
      <c r="P266" s="60"/>
      <c r="Q266" s="62">
        <f t="shared" si="84"/>
        <v>51</v>
      </c>
      <c r="R266">
        <f>D266-$D$257</f>
        <v>2.6777777777777775E-2</v>
      </c>
      <c r="S266" s="60"/>
      <c r="Z266" s="60"/>
      <c r="AA266" s="62">
        <f t="shared" si="86"/>
        <v>51</v>
      </c>
      <c r="AB266">
        <f t="shared" si="87"/>
        <v>2.5429988392951355</v>
      </c>
    </row>
    <row r="267" spans="3:38" x14ac:dyDescent="0.2">
      <c r="C267" s="61">
        <f t="shared" si="82"/>
        <v>52</v>
      </c>
      <c r="D267">
        <f t="shared" si="83"/>
        <v>4.2999999999999997E-2</v>
      </c>
      <c r="P267" s="60"/>
      <c r="Q267" s="62">
        <f t="shared" si="84"/>
        <v>52</v>
      </c>
      <c r="R267">
        <f t="shared" si="85"/>
        <v>1.777777777777767E-3</v>
      </c>
      <c r="S267" s="60"/>
      <c r="Z267" s="60"/>
      <c r="AA267" s="62">
        <f t="shared" si="86"/>
        <v>52</v>
      </c>
      <c r="AB267">
        <f t="shared" si="87"/>
        <v>0.16882979845942708</v>
      </c>
    </row>
    <row r="268" spans="3:38" x14ac:dyDescent="0.2">
      <c r="C268" s="61">
        <f t="shared" ref="C268:C273" si="88">T248</f>
        <v>53</v>
      </c>
      <c r="D268">
        <f t="shared" ref="D268:D273" si="89">F248</f>
        <v>7.1999999999999995E-2</v>
      </c>
      <c r="P268" s="60"/>
      <c r="Q268" s="62">
        <f t="shared" si="84"/>
        <v>53</v>
      </c>
      <c r="R268">
        <f>D268-$D$257</f>
        <v>3.0777777777777765E-2</v>
      </c>
      <c r="S268" s="60"/>
      <c r="Z268" s="60"/>
      <c r="AA268" s="62">
        <f t="shared" si="86"/>
        <v>53</v>
      </c>
      <c r="AB268">
        <f t="shared" si="87"/>
        <v>2.9228658858288479</v>
      </c>
    </row>
    <row r="269" spans="3:38" x14ac:dyDescent="0.2">
      <c r="C269" s="61">
        <f t="shared" si="88"/>
        <v>54</v>
      </c>
      <c r="D269">
        <f t="shared" si="89"/>
        <v>0.19800000000000001</v>
      </c>
      <c r="P269" s="60"/>
      <c r="Q269" s="62">
        <f t="shared" si="84"/>
        <v>54</v>
      </c>
      <c r="R269">
        <f>D269-$D$257</f>
        <v>0.15677777777777779</v>
      </c>
      <c r="S269" s="60"/>
      <c r="Z269" s="60"/>
      <c r="AA269" s="62">
        <f t="shared" si="86"/>
        <v>54</v>
      </c>
      <c r="AB269">
        <f>R269*100/$AF$258</f>
        <v>14.888677851640816</v>
      </c>
    </row>
    <row r="270" spans="3:38" x14ac:dyDescent="0.2">
      <c r="C270" s="61">
        <f t="shared" si="88"/>
        <v>55</v>
      </c>
      <c r="D270">
        <f t="shared" si="89"/>
        <v>0.78</v>
      </c>
      <c r="P270" s="60"/>
      <c r="Q270" s="62">
        <f t="shared" si="84"/>
        <v>55</v>
      </c>
      <c r="R270">
        <f t="shared" si="85"/>
        <v>0.73877777777777776</v>
      </c>
      <c r="S270" s="60"/>
      <c r="Z270" s="60"/>
      <c r="AA270" s="62">
        <f t="shared" si="86"/>
        <v>55</v>
      </c>
      <c r="AB270">
        <f t="shared" si="87"/>
        <v>70.15933312229609</v>
      </c>
    </row>
    <row r="271" spans="3:38" x14ac:dyDescent="0.2">
      <c r="C271" s="61">
        <f t="shared" si="88"/>
        <v>56</v>
      </c>
      <c r="D271">
        <f t="shared" si="89"/>
        <v>0.754</v>
      </c>
      <c r="P271" s="60"/>
      <c r="Q271" s="62">
        <f t="shared" si="84"/>
        <v>56</v>
      </c>
      <c r="R271">
        <f t="shared" si="85"/>
        <v>0.71277777777777773</v>
      </c>
      <c r="S271" s="60"/>
      <c r="Z271" s="60"/>
      <c r="AA271" s="62">
        <f t="shared" si="86"/>
        <v>56</v>
      </c>
      <c r="AB271">
        <f t="shared" si="87"/>
        <v>67.69019731982695</v>
      </c>
    </row>
    <row r="272" spans="3:38" x14ac:dyDescent="0.2">
      <c r="C272" s="61">
        <f t="shared" si="88"/>
        <v>57</v>
      </c>
      <c r="D272">
        <f t="shared" si="89"/>
        <v>0.76300000000000001</v>
      </c>
      <c r="P272" s="60"/>
      <c r="Q272" s="62">
        <f t="shared" si="84"/>
        <v>57</v>
      </c>
      <c r="R272">
        <f t="shared" si="85"/>
        <v>0.72177777777777774</v>
      </c>
      <c r="S272" s="60"/>
      <c r="Z272" s="60"/>
      <c r="AA272" s="62">
        <f t="shared" si="86"/>
        <v>57</v>
      </c>
      <c r="AB272">
        <f t="shared" si="87"/>
        <v>68.544898174527802</v>
      </c>
    </row>
    <row r="273" spans="3:28" x14ac:dyDescent="0.2">
      <c r="C273" s="61">
        <f t="shared" si="88"/>
        <v>58</v>
      </c>
      <c r="D273">
        <f t="shared" si="89"/>
        <v>0.93200000000000005</v>
      </c>
      <c r="P273" s="60"/>
      <c r="Q273" s="62">
        <f t="shared" si="84"/>
        <v>58</v>
      </c>
      <c r="R273">
        <f t="shared" si="85"/>
        <v>0.89077777777777778</v>
      </c>
      <c r="S273" s="60"/>
      <c r="Z273" s="60"/>
      <c r="AA273" s="62">
        <f t="shared" si="86"/>
        <v>58</v>
      </c>
      <c r="AB273">
        <f t="shared" si="87"/>
        <v>84.594280890577195</v>
      </c>
    </row>
    <row r="274" spans="3:28" x14ac:dyDescent="0.2">
      <c r="C274" s="61">
        <f t="shared" ref="C274:C279" si="90">U248</f>
        <v>59</v>
      </c>
      <c r="D274">
        <f t="shared" ref="D274:D279" si="91">G248</f>
        <v>0.45500000000000002</v>
      </c>
      <c r="P274" s="60"/>
      <c r="Q274" s="62">
        <f t="shared" si="84"/>
        <v>59</v>
      </c>
      <c r="R274">
        <f t="shared" si="85"/>
        <v>0.4137777777777778</v>
      </c>
      <c r="S274" s="60"/>
      <c r="Z274" s="60"/>
      <c r="AA274" s="62">
        <f t="shared" si="86"/>
        <v>59</v>
      </c>
      <c r="AB274">
        <f t="shared" si="87"/>
        <v>39.295135591431894</v>
      </c>
    </row>
    <row r="275" spans="3:28" x14ac:dyDescent="0.2">
      <c r="C275" s="61">
        <f t="shared" si="90"/>
        <v>60</v>
      </c>
      <c r="D275">
        <f t="shared" si="91"/>
        <v>0.46800000000000003</v>
      </c>
      <c r="P275" s="60"/>
      <c r="Q275" s="62">
        <f t="shared" si="84"/>
        <v>60</v>
      </c>
      <c r="R275">
        <f t="shared" si="85"/>
        <v>0.42677777777777781</v>
      </c>
      <c r="S275" s="60"/>
      <c r="Z275" s="60"/>
      <c r="AA275" s="62">
        <f t="shared" si="86"/>
        <v>60</v>
      </c>
      <c r="AB275">
        <f t="shared" si="87"/>
        <v>40.529703492666464</v>
      </c>
    </row>
    <row r="276" spans="3:28" x14ac:dyDescent="0.2">
      <c r="C276" s="61">
        <f t="shared" si="90"/>
        <v>61</v>
      </c>
      <c r="D276">
        <f t="shared" si="91"/>
        <v>0.52400000000000002</v>
      </c>
      <c r="P276" s="60"/>
      <c r="Q276" s="62">
        <f t="shared" si="84"/>
        <v>61</v>
      </c>
      <c r="R276">
        <f t="shared" si="85"/>
        <v>0.48277777777777781</v>
      </c>
      <c r="S276" s="60"/>
      <c r="Z276" s="60"/>
      <c r="AA276" s="62">
        <f t="shared" si="86"/>
        <v>61</v>
      </c>
      <c r="AB276">
        <f t="shared" si="87"/>
        <v>45.847842144138447</v>
      </c>
    </row>
    <row r="277" spans="3:28" x14ac:dyDescent="0.2">
      <c r="C277" s="61">
        <f t="shared" si="90"/>
        <v>62</v>
      </c>
      <c r="D277">
        <f t="shared" si="91"/>
        <v>0.60299999999999998</v>
      </c>
      <c r="P277" s="60"/>
      <c r="Q277" s="62">
        <f t="shared" si="84"/>
        <v>62</v>
      </c>
      <c r="R277">
        <f t="shared" si="85"/>
        <v>0.56177777777777771</v>
      </c>
      <c r="S277" s="60"/>
      <c r="Z277" s="60"/>
      <c r="AA277" s="62">
        <f t="shared" si="86"/>
        <v>62</v>
      </c>
      <c r="AB277">
        <f t="shared" si="87"/>
        <v>53.350216313179274</v>
      </c>
    </row>
    <row r="278" spans="3:28" x14ac:dyDescent="0.2">
      <c r="C278" s="61">
        <f t="shared" si="90"/>
        <v>63</v>
      </c>
      <c r="D278">
        <f t="shared" si="91"/>
        <v>0.4</v>
      </c>
      <c r="P278" s="60"/>
      <c r="Q278" s="62">
        <f t="shared" si="84"/>
        <v>63</v>
      </c>
      <c r="R278">
        <f t="shared" si="85"/>
        <v>0.35877777777777781</v>
      </c>
      <c r="S278" s="60"/>
      <c r="Z278" s="60"/>
      <c r="AA278" s="62">
        <f t="shared" si="86"/>
        <v>63</v>
      </c>
      <c r="AB278">
        <f t="shared" si="87"/>
        <v>34.071963701593333</v>
      </c>
    </row>
    <row r="279" spans="3:28" x14ac:dyDescent="0.2">
      <c r="C279" s="61">
        <f t="shared" si="90"/>
        <v>64</v>
      </c>
      <c r="D279">
        <f t="shared" si="91"/>
        <v>0.374</v>
      </c>
      <c r="P279" s="60"/>
      <c r="Q279" s="62">
        <f t="shared" si="84"/>
        <v>64</v>
      </c>
      <c r="R279">
        <f t="shared" si="85"/>
        <v>0.33277777777777778</v>
      </c>
      <c r="S279" s="60"/>
      <c r="Z279" s="60"/>
      <c r="AA279" s="62">
        <f t="shared" si="86"/>
        <v>64</v>
      </c>
      <c r="AB279">
        <f t="shared" si="87"/>
        <v>31.602827899124197</v>
      </c>
    </row>
    <row r="280" spans="3:28" x14ac:dyDescent="0.2">
      <c r="C280" s="61">
        <f t="shared" ref="C280:C285" si="92">W248</f>
        <v>65</v>
      </c>
      <c r="D280">
        <f t="shared" ref="D280:D285" si="93">I248</f>
        <v>0.35399999999999998</v>
      </c>
      <c r="P280" s="60"/>
      <c r="Q280" s="62">
        <f t="shared" si="84"/>
        <v>65</v>
      </c>
      <c r="R280">
        <f t="shared" si="85"/>
        <v>0.31277777777777777</v>
      </c>
      <c r="S280" s="60"/>
      <c r="Z280" s="60"/>
      <c r="AA280" s="62">
        <f t="shared" si="86"/>
        <v>65</v>
      </c>
      <c r="AB280">
        <f t="shared" si="87"/>
        <v>29.703492666455627</v>
      </c>
    </row>
    <row r="281" spans="3:28" x14ac:dyDescent="0.2">
      <c r="C281" s="61">
        <f t="shared" si="92"/>
        <v>66</v>
      </c>
      <c r="D281">
        <f t="shared" si="93"/>
        <v>0.214</v>
      </c>
      <c r="P281" s="60"/>
      <c r="Q281" s="62">
        <f t="shared" si="84"/>
        <v>66</v>
      </c>
      <c r="R281">
        <f t="shared" si="85"/>
        <v>0.17277777777777775</v>
      </c>
      <c r="S281" s="60"/>
      <c r="Z281" s="60"/>
      <c r="AA281" s="62">
        <f t="shared" si="86"/>
        <v>66</v>
      </c>
      <c r="AB281">
        <f t="shared" si="87"/>
        <v>16.408146037775666</v>
      </c>
    </row>
    <row r="282" spans="3:28" x14ac:dyDescent="0.2">
      <c r="C282" s="61">
        <f t="shared" si="92"/>
        <v>67</v>
      </c>
      <c r="D282">
        <f t="shared" si="93"/>
        <v>0.85899999999999999</v>
      </c>
      <c r="P282" s="60"/>
      <c r="Q282" s="62">
        <f t="shared" si="84"/>
        <v>67</v>
      </c>
      <c r="R282">
        <f>D282-$D$257</f>
        <v>0.81777777777777771</v>
      </c>
      <c r="S282" s="60"/>
      <c r="Z282" s="60"/>
      <c r="AA282" s="62">
        <f t="shared" si="86"/>
        <v>67</v>
      </c>
      <c r="AB282">
        <f t="shared" si="87"/>
        <v>77.661707291336924</v>
      </c>
    </row>
    <row r="283" spans="3:28" x14ac:dyDescent="0.2">
      <c r="C283" s="61">
        <f t="shared" si="92"/>
        <v>68</v>
      </c>
      <c r="D283">
        <f t="shared" si="93"/>
        <v>0.88500000000000001</v>
      </c>
      <c r="P283" s="60"/>
      <c r="Q283" s="62">
        <f t="shared" si="84"/>
        <v>68</v>
      </c>
      <c r="R283">
        <f t="shared" si="85"/>
        <v>0.84377777777777774</v>
      </c>
      <c r="S283" s="60"/>
      <c r="Z283" s="60"/>
      <c r="AA283" s="62">
        <f t="shared" si="86"/>
        <v>68</v>
      </c>
      <c r="AB283">
        <f t="shared" si="87"/>
        <v>80.130843093806064</v>
      </c>
    </row>
    <row r="284" spans="3:28" x14ac:dyDescent="0.2">
      <c r="C284" s="61">
        <f t="shared" si="92"/>
        <v>69</v>
      </c>
      <c r="D284">
        <f t="shared" si="93"/>
        <v>1.014</v>
      </c>
      <c r="P284" s="60"/>
      <c r="Q284" s="62">
        <f t="shared" si="84"/>
        <v>69</v>
      </c>
      <c r="R284">
        <f t="shared" si="85"/>
        <v>0.97277777777777774</v>
      </c>
      <c r="S284" s="60"/>
      <c r="Z284" s="60"/>
      <c r="AA284" s="62">
        <f t="shared" si="86"/>
        <v>69</v>
      </c>
      <c r="AB284">
        <f t="shared" si="87"/>
        <v>92.381555344518304</v>
      </c>
    </row>
    <row r="285" spans="3:28" x14ac:dyDescent="0.2">
      <c r="C285" s="61">
        <f t="shared" si="92"/>
        <v>70</v>
      </c>
      <c r="D285">
        <f t="shared" si="93"/>
        <v>1.0209999999999999</v>
      </c>
      <c r="P285" s="60"/>
      <c r="Q285" s="62">
        <f t="shared" si="84"/>
        <v>70</v>
      </c>
      <c r="R285">
        <f t="shared" si="85"/>
        <v>0.97977777777777764</v>
      </c>
      <c r="S285" s="60"/>
      <c r="Z285" s="60"/>
      <c r="AA285" s="62">
        <f t="shared" si="86"/>
        <v>70</v>
      </c>
      <c r="AB285">
        <f t="shared" si="87"/>
        <v>93.046322675952297</v>
      </c>
    </row>
    <row r="286" spans="3:28" x14ac:dyDescent="0.2">
      <c r="C286" s="61">
        <f t="shared" ref="C286:C291" si="94">X248</f>
        <v>71</v>
      </c>
      <c r="D286">
        <f t="shared" ref="D286:D291" si="95">J248</f>
        <v>4.2000000000000003E-2</v>
      </c>
      <c r="P286" s="60"/>
      <c r="Q286" s="62">
        <f t="shared" si="84"/>
        <v>71</v>
      </c>
      <c r="R286">
        <f t="shared" si="85"/>
        <v>7.7777777777777307E-4</v>
      </c>
      <c r="S286" s="60"/>
      <c r="Z286" s="60"/>
      <c r="AA286" s="62">
        <f t="shared" si="86"/>
        <v>71</v>
      </c>
      <c r="AB286">
        <f t="shared" si="87"/>
        <v>7.3863036825999345E-2</v>
      </c>
    </row>
    <row r="287" spans="3:28" x14ac:dyDescent="0.2">
      <c r="C287" s="61">
        <f t="shared" si="94"/>
        <v>72</v>
      </c>
      <c r="D287">
        <f t="shared" si="95"/>
        <v>4.9000000000000002E-2</v>
      </c>
      <c r="P287" s="60"/>
      <c r="Q287" s="62">
        <f t="shared" si="84"/>
        <v>72</v>
      </c>
      <c r="R287">
        <f t="shared" si="85"/>
        <v>7.7777777777777724E-3</v>
      </c>
      <c r="S287" s="60"/>
      <c r="Z287" s="60"/>
      <c r="AA287" s="62">
        <f t="shared" si="86"/>
        <v>72</v>
      </c>
      <c r="AB287">
        <f t="shared" si="87"/>
        <v>0.73863036825999739</v>
      </c>
    </row>
    <row r="288" spans="3:28" x14ac:dyDescent="0.2">
      <c r="C288" s="61">
        <f t="shared" si="94"/>
        <v>73</v>
      </c>
      <c r="D288">
        <f t="shared" si="95"/>
        <v>0.1</v>
      </c>
      <c r="P288" s="60"/>
      <c r="Q288" s="62">
        <f t="shared" si="84"/>
        <v>73</v>
      </c>
      <c r="R288">
        <f t="shared" si="85"/>
        <v>5.8777777777777776E-2</v>
      </c>
      <c r="S288" s="60"/>
      <c r="Z288" s="60"/>
      <c r="AA288" s="62">
        <f t="shared" si="86"/>
        <v>73</v>
      </c>
      <c r="AB288">
        <f t="shared" si="87"/>
        <v>5.5819352115648408</v>
      </c>
    </row>
    <row r="289" spans="3:28" x14ac:dyDescent="0.2">
      <c r="C289" s="61">
        <f t="shared" si="94"/>
        <v>74</v>
      </c>
      <c r="D289">
        <f t="shared" si="95"/>
        <v>0.13100000000000001</v>
      </c>
      <c r="P289" s="60"/>
      <c r="Q289" s="62">
        <f t="shared" si="84"/>
        <v>74</v>
      </c>
      <c r="R289">
        <f t="shared" si="85"/>
        <v>8.9777777777777776E-2</v>
      </c>
      <c r="S289" s="60"/>
      <c r="Z289" s="60"/>
      <c r="AA289" s="62">
        <f t="shared" si="86"/>
        <v>74</v>
      </c>
      <c r="AB289">
        <f t="shared" si="87"/>
        <v>8.5259048222011184</v>
      </c>
    </row>
    <row r="290" spans="3:28" x14ac:dyDescent="0.2">
      <c r="C290" s="61">
        <f t="shared" si="94"/>
        <v>75</v>
      </c>
      <c r="D290">
        <f t="shared" si="95"/>
        <v>0.11899999999999999</v>
      </c>
      <c r="P290" s="60"/>
      <c r="Q290" s="62">
        <f t="shared" si="84"/>
        <v>75</v>
      </c>
      <c r="R290">
        <f t="shared" si="85"/>
        <v>7.7777777777777765E-2</v>
      </c>
      <c r="S290" s="60"/>
      <c r="Z290" s="60"/>
      <c r="AA290" s="62">
        <f t="shared" si="86"/>
        <v>75</v>
      </c>
      <c r="AB290">
        <f t="shared" si="87"/>
        <v>7.3863036825999782</v>
      </c>
    </row>
    <row r="291" spans="3:28" x14ac:dyDescent="0.2">
      <c r="C291" s="61">
        <f t="shared" si="94"/>
        <v>76</v>
      </c>
      <c r="D291">
        <f t="shared" si="95"/>
        <v>0.53900000000000003</v>
      </c>
      <c r="P291" s="60"/>
      <c r="Q291" s="62">
        <f t="shared" si="84"/>
        <v>76</v>
      </c>
      <c r="R291">
        <f t="shared" si="85"/>
        <v>0.49777777777777782</v>
      </c>
      <c r="S291" s="60"/>
      <c r="Z291" s="60"/>
      <c r="AA291" s="62">
        <f t="shared" si="86"/>
        <v>76</v>
      </c>
      <c r="AB291">
        <f t="shared" si="87"/>
        <v>47.272343568639869</v>
      </c>
    </row>
    <row r="292" spans="3:28" x14ac:dyDescent="0.2">
      <c r="C292" s="61">
        <f t="shared" ref="C292:C297" si="96">Y248</f>
        <v>77</v>
      </c>
      <c r="D292">
        <f t="shared" ref="D292:D297" si="97">K248</f>
        <v>0.27500000000000002</v>
      </c>
      <c r="P292" s="60"/>
      <c r="Q292" s="62">
        <f t="shared" si="84"/>
        <v>77</v>
      </c>
      <c r="R292">
        <f t="shared" si="85"/>
        <v>0.23377777777777781</v>
      </c>
      <c r="S292" s="60"/>
      <c r="Z292" s="60"/>
      <c r="AA292" s="62">
        <f t="shared" si="86"/>
        <v>77</v>
      </c>
      <c r="AB292">
        <f t="shared" si="87"/>
        <v>22.201118497414797</v>
      </c>
    </row>
    <row r="293" spans="3:28" x14ac:dyDescent="0.2">
      <c r="C293" s="61">
        <f t="shared" si="96"/>
        <v>78</v>
      </c>
      <c r="D293">
        <f t="shared" si="97"/>
        <v>0.254</v>
      </c>
      <c r="P293" s="60"/>
      <c r="Q293" s="62">
        <f t="shared" si="84"/>
        <v>78</v>
      </c>
      <c r="R293">
        <f t="shared" si="85"/>
        <v>0.21277777777777779</v>
      </c>
      <c r="S293" s="60"/>
      <c r="Z293" s="60"/>
      <c r="AA293" s="62">
        <f t="shared" si="86"/>
        <v>78</v>
      </c>
      <c r="AB293">
        <f t="shared" si="87"/>
        <v>20.206816503112801</v>
      </c>
    </row>
    <row r="294" spans="3:28" x14ac:dyDescent="0.2">
      <c r="C294" s="61">
        <f t="shared" si="96"/>
        <v>79</v>
      </c>
      <c r="D294">
        <f t="shared" si="97"/>
        <v>0.71</v>
      </c>
      <c r="P294" s="60"/>
      <c r="Q294" s="62">
        <f t="shared" si="84"/>
        <v>79</v>
      </c>
      <c r="R294">
        <f t="shared" si="85"/>
        <v>0.66877777777777769</v>
      </c>
      <c r="S294" s="60"/>
      <c r="Z294" s="60"/>
      <c r="AA294" s="62">
        <f t="shared" si="86"/>
        <v>79</v>
      </c>
      <c r="AB294">
        <f t="shared" si="87"/>
        <v>63.5116598079561</v>
      </c>
    </row>
    <row r="295" spans="3:28" x14ac:dyDescent="0.2">
      <c r="C295" s="61">
        <f t="shared" si="96"/>
        <v>80</v>
      </c>
      <c r="D295">
        <f t="shared" si="97"/>
        <v>0.59699999999999998</v>
      </c>
      <c r="P295" s="60"/>
      <c r="Q295" s="62">
        <f t="shared" si="84"/>
        <v>80</v>
      </c>
      <c r="R295">
        <f t="shared" si="85"/>
        <v>0.5557777777777777</v>
      </c>
      <c r="S295" s="60"/>
      <c r="Z295" s="60"/>
      <c r="AA295" s="62">
        <f t="shared" si="86"/>
        <v>80</v>
      </c>
      <c r="AB295">
        <f t="shared" si="87"/>
        <v>52.780415743378704</v>
      </c>
    </row>
    <row r="296" spans="3:28" x14ac:dyDescent="0.2">
      <c r="C296" s="61">
        <f t="shared" si="96"/>
        <v>81</v>
      </c>
      <c r="D296">
        <f t="shared" si="97"/>
        <v>0.70199999999999996</v>
      </c>
      <c r="P296" s="60"/>
      <c r="Q296" s="62">
        <f t="shared" si="84"/>
        <v>81</v>
      </c>
      <c r="R296">
        <f t="shared" si="85"/>
        <v>0.66077777777777769</v>
      </c>
      <c r="S296" s="60"/>
      <c r="Z296" s="60"/>
      <c r="AA296" s="62">
        <f t="shared" si="86"/>
        <v>81</v>
      </c>
      <c r="AB296">
        <f t="shared" si="87"/>
        <v>62.751925714888671</v>
      </c>
    </row>
    <row r="297" spans="3:28" x14ac:dyDescent="0.2">
      <c r="C297" s="61">
        <f t="shared" si="96"/>
        <v>82</v>
      </c>
      <c r="D297">
        <f t="shared" si="97"/>
        <v>0.72299999999999998</v>
      </c>
      <c r="P297" s="60"/>
      <c r="Q297" s="62">
        <f t="shared" si="84"/>
        <v>82</v>
      </c>
      <c r="R297">
        <f t="shared" si="85"/>
        <v>0.6817777777777777</v>
      </c>
      <c r="S297" s="60"/>
      <c r="Z297" s="60"/>
      <c r="AA297" s="62">
        <f t="shared" si="86"/>
        <v>82</v>
      </c>
      <c r="AB297">
        <f t="shared" si="87"/>
        <v>64.746227709190677</v>
      </c>
    </row>
    <row r="298" spans="3:28" x14ac:dyDescent="0.2">
      <c r="C298" s="61">
        <f t="shared" ref="C298:C303" si="98">AA248</f>
        <v>83</v>
      </c>
      <c r="D298">
        <f t="shared" ref="D298:D303" si="99">M248</f>
        <v>5.5E-2</v>
      </c>
      <c r="P298" s="60"/>
      <c r="Q298" s="62">
        <f t="shared" si="84"/>
        <v>83</v>
      </c>
      <c r="R298">
        <f t="shared" si="85"/>
        <v>1.3777777777777771E-2</v>
      </c>
      <c r="S298" s="60"/>
      <c r="Z298" s="60"/>
      <c r="AA298" s="62">
        <f t="shared" si="86"/>
        <v>83</v>
      </c>
      <c r="AB298">
        <f t="shared" si="87"/>
        <v>1.3084309380605672</v>
      </c>
    </row>
    <row r="299" spans="3:28" x14ac:dyDescent="0.2">
      <c r="C299" s="61">
        <f t="shared" si="98"/>
        <v>84</v>
      </c>
      <c r="D299">
        <f t="shared" si="99"/>
        <v>0.32100000000000001</v>
      </c>
      <c r="P299" s="60"/>
      <c r="Q299" s="62">
        <f t="shared" si="84"/>
        <v>84</v>
      </c>
      <c r="R299">
        <f t="shared" si="85"/>
        <v>0.27977777777777779</v>
      </c>
      <c r="Z299" s="60"/>
      <c r="AA299" s="62">
        <f t="shared" si="86"/>
        <v>84</v>
      </c>
      <c r="AB299">
        <f t="shared" si="87"/>
        <v>26.569589532552499</v>
      </c>
    </row>
    <row r="300" spans="3:28" x14ac:dyDescent="0.2">
      <c r="C300" s="61">
        <f t="shared" si="98"/>
        <v>85</v>
      </c>
      <c r="D300">
        <f t="shared" si="99"/>
        <v>0.254</v>
      </c>
      <c r="P300" s="60"/>
      <c r="Q300" s="62">
        <f t="shared" si="84"/>
        <v>85</v>
      </c>
      <c r="R300">
        <f t="shared" si="85"/>
        <v>0.21277777777777779</v>
      </c>
      <c r="S300" s="58"/>
      <c r="Z300" s="60"/>
      <c r="AA300" s="62">
        <f t="shared" si="86"/>
        <v>85</v>
      </c>
      <c r="AB300">
        <f t="shared" si="87"/>
        <v>20.206816503112801</v>
      </c>
    </row>
    <row r="301" spans="3:28" x14ac:dyDescent="0.2">
      <c r="C301" s="61">
        <f t="shared" si="98"/>
        <v>86</v>
      </c>
      <c r="D301">
        <f t="shared" si="99"/>
        <v>4.9000000000000002E-2</v>
      </c>
      <c r="P301" s="60"/>
      <c r="Q301" s="62">
        <f t="shared" si="84"/>
        <v>86</v>
      </c>
      <c r="R301">
        <f t="shared" si="85"/>
        <v>7.7777777777777724E-3</v>
      </c>
      <c r="Z301" s="60"/>
      <c r="AA301" s="62">
        <f t="shared" si="86"/>
        <v>86</v>
      </c>
      <c r="AB301">
        <f t="shared" si="87"/>
        <v>0.73863036825999739</v>
      </c>
    </row>
    <row r="302" spans="3:28" x14ac:dyDescent="0.2">
      <c r="C302" s="61">
        <f t="shared" si="98"/>
        <v>87</v>
      </c>
      <c r="D302">
        <f t="shared" si="99"/>
        <v>0.82399999999999995</v>
      </c>
      <c r="P302" s="60"/>
      <c r="Q302" s="62">
        <f t="shared" si="84"/>
        <v>87</v>
      </c>
      <c r="R302">
        <f t="shared" si="85"/>
        <v>0.78277777777777768</v>
      </c>
      <c r="Z302" s="60"/>
      <c r="AA302" s="62">
        <f t="shared" si="86"/>
        <v>87</v>
      </c>
      <c r="AB302">
        <f t="shared" si="87"/>
        <v>74.337870634166933</v>
      </c>
    </row>
    <row r="303" spans="3:28" x14ac:dyDescent="0.2">
      <c r="C303" s="61">
        <f t="shared" si="98"/>
        <v>88</v>
      </c>
      <c r="D303">
        <f t="shared" si="99"/>
        <v>0.92500000000000004</v>
      </c>
      <c r="P303" s="60"/>
      <c r="Q303" s="62">
        <f t="shared" si="84"/>
        <v>88</v>
      </c>
      <c r="R303">
        <f t="shared" si="85"/>
        <v>0.88377777777777777</v>
      </c>
      <c r="Z303" s="60"/>
      <c r="AA303" s="62">
        <f t="shared" si="86"/>
        <v>88</v>
      </c>
      <c r="AB303">
        <f>R303*100/$AF$258</f>
        <v>83.929513559143203</v>
      </c>
    </row>
    <row r="305" spans="2:38" x14ac:dyDescent="0.2">
      <c r="B305" s="7" t="s">
        <v>86</v>
      </c>
      <c r="C305" s="40">
        <v>45380</v>
      </c>
      <c r="D305" s="7" t="s">
        <v>16</v>
      </c>
      <c r="E305" s="41"/>
    </row>
    <row r="306" spans="2:38" x14ac:dyDescent="0.2">
      <c r="B306" s="42"/>
      <c r="C306" s="42">
        <v>1</v>
      </c>
      <c r="D306" s="42">
        <v>2</v>
      </c>
      <c r="E306" s="42">
        <v>3</v>
      </c>
      <c r="F306" s="42">
        <v>4</v>
      </c>
      <c r="G306" s="42">
        <v>5</v>
      </c>
      <c r="H306" s="42">
        <v>6</v>
      </c>
      <c r="I306" s="42">
        <v>7</v>
      </c>
      <c r="J306" s="42">
        <v>8</v>
      </c>
      <c r="K306" s="42">
        <v>9</v>
      </c>
      <c r="L306" s="42">
        <v>10</v>
      </c>
      <c r="M306" s="42">
        <v>11</v>
      </c>
      <c r="N306" s="42">
        <v>12</v>
      </c>
      <c r="Q306" s="1">
        <v>1</v>
      </c>
      <c r="R306" s="1">
        <v>2</v>
      </c>
      <c r="S306" s="1">
        <v>3</v>
      </c>
      <c r="T306" s="1">
        <v>4</v>
      </c>
      <c r="U306" s="1">
        <v>5</v>
      </c>
      <c r="V306" s="1">
        <v>6</v>
      </c>
      <c r="W306" s="1">
        <v>7</v>
      </c>
      <c r="X306" s="1">
        <v>8</v>
      </c>
      <c r="Y306" s="1">
        <v>9</v>
      </c>
      <c r="Z306" s="1">
        <v>10</v>
      </c>
      <c r="AA306" s="1">
        <v>11</v>
      </c>
      <c r="AB306" s="1">
        <v>12</v>
      </c>
    </row>
    <row r="307" spans="2:38" x14ac:dyDescent="0.2">
      <c r="B307" s="43" t="s">
        <v>0</v>
      </c>
      <c r="C307" s="44">
        <v>4.2000000000000003E-2</v>
      </c>
      <c r="D307" s="44">
        <v>4.1000000000000002E-2</v>
      </c>
      <c r="E307" s="44">
        <v>4.1000000000000002E-2</v>
      </c>
      <c r="F307" s="44">
        <v>4.2000000000000003E-2</v>
      </c>
      <c r="G307" s="44">
        <v>4.1000000000000002E-2</v>
      </c>
      <c r="H307" s="44">
        <v>4.1000000000000002E-2</v>
      </c>
      <c r="I307" s="44">
        <v>4.2000000000000003E-2</v>
      </c>
      <c r="J307" s="44">
        <v>4.3999999999999997E-2</v>
      </c>
      <c r="K307" s="44">
        <v>4.1000000000000002E-2</v>
      </c>
      <c r="L307" s="44">
        <v>4.2000000000000003E-2</v>
      </c>
      <c r="M307" s="44">
        <v>0.04</v>
      </c>
      <c r="N307" s="44">
        <v>4.1000000000000002E-2</v>
      </c>
      <c r="O307" s="18">
        <v>570</v>
      </c>
      <c r="P307" s="1" t="s">
        <v>0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2:38" x14ac:dyDescent="0.2">
      <c r="B308" s="43" t="s">
        <v>1</v>
      </c>
      <c r="C308" s="44">
        <v>4.2000000000000003E-2</v>
      </c>
      <c r="D308" s="49">
        <v>0.95</v>
      </c>
      <c r="E308" s="47">
        <v>0.129</v>
      </c>
      <c r="F308" s="44">
        <v>6.5000000000000002E-2</v>
      </c>
      <c r="G308" s="51">
        <v>0.378</v>
      </c>
      <c r="H308" s="67">
        <v>0.85199999999999998</v>
      </c>
      <c r="I308" s="48">
        <v>0.26900000000000002</v>
      </c>
      <c r="J308" s="44">
        <v>4.2999999999999997E-2</v>
      </c>
      <c r="K308" s="48">
        <v>0.22500000000000001</v>
      </c>
      <c r="L308" s="55">
        <v>0.8</v>
      </c>
      <c r="M308" s="44">
        <v>5.0999999999999997E-2</v>
      </c>
      <c r="N308" s="44">
        <v>0.04</v>
      </c>
      <c r="O308" s="18">
        <v>570</v>
      </c>
      <c r="P308" s="1" t="s">
        <v>1</v>
      </c>
      <c r="Q308" s="2"/>
      <c r="R308" s="3" t="s">
        <v>2</v>
      </c>
      <c r="S308" s="4">
        <v>47</v>
      </c>
      <c r="T308" s="4">
        <v>53</v>
      </c>
      <c r="U308" s="4">
        <v>59</v>
      </c>
      <c r="V308" s="3" t="s">
        <v>2</v>
      </c>
      <c r="W308" s="4">
        <v>65</v>
      </c>
      <c r="X308" s="4">
        <v>71</v>
      </c>
      <c r="Y308" s="4">
        <v>77</v>
      </c>
      <c r="Z308" s="3" t="s">
        <v>2</v>
      </c>
      <c r="AA308" s="4">
        <v>83</v>
      </c>
      <c r="AB308" s="5"/>
    </row>
    <row r="309" spans="2:38" x14ac:dyDescent="0.2">
      <c r="B309" s="43" t="s">
        <v>3</v>
      </c>
      <c r="C309" s="44">
        <v>4.2000000000000003E-2</v>
      </c>
      <c r="D309" s="47">
        <v>0.155</v>
      </c>
      <c r="E309" s="50">
        <v>0.29299999999999998</v>
      </c>
      <c r="F309" s="44">
        <v>0.10100000000000001</v>
      </c>
      <c r="G309" s="48">
        <v>0.27300000000000002</v>
      </c>
      <c r="H309" s="44">
        <v>0.108</v>
      </c>
      <c r="I309" s="48">
        <v>0.251</v>
      </c>
      <c r="J309" s="44">
        <v>4.5999999999999999E-2</v>
      </c>
      <c r="K309" s="48">
        <v>0.23200000000000001</v>
      </c>
      <c r="L309" s="47">
        <v>0.124</v>
      </c>
      <c r="M309" s="48">
        <v>0.246</v>
      </c>
      <c r="N309" s="44">
        <v>4.1000000000000002E-2</v>
      </c>
      <c r="O309" s="18">
        <v>570</v>
      </c>
      <c r="P309" s="1" t="s">
        <v>3</v>
      </c>
      <c r="Q309" s="2"/>
      <c r="R309" s="6" t="s">
        <v>4</v>
      </c>
      <c r="S309" s="4">
        <v>48</v>
      </c>
      <c r="T309" s="4">
        <v>54</v>
      </c>
      <c r="U309" s="4">
        <v>60</v>
      </c>
      <c r="V309" s="6" t="s">
        <v>4</v>
      </c>
      <c r="W309" s="4">
        <v>66</v>
      </c>
      <c r="X309" s="4">
        <v>72</v>
      </c>
      <c r="Y309" s="4">
        <v>78</v>
      </c>
      <c r="Z309" s="6" t="s">
        <v>4</v>
      </c>
      <c r="AA309" s="4">
        <v>84</v>
      </c>
      <c r="AB309" s="5"/>
    </row>
    <row r="310" spans="2:38" x14ac:dyDescent="0.2">
      <c r="B310" s="43" t="s">
        <v>5</v>
      </c>
      <c r="C310" s="44">
        <v>4.1000000000000002E-2</v>
      </c>
      <c r="D310" s="45">
        <v>0.97799999999999998</v>
      </c>
      <c r="E310" s="52">
        <v>0.43</v>
      </c>
      <c r="F310" s="56">
        <v>0.69299999999999995</v>
      </c>
      <c r="G310" s="44">
        <v>6.9000000000000006E-2</v>
      </c>
      <c r="H310" s="54">
        <v>1.0940000000000001</v>
      </c>
      <c r="I310" s="56">
        <v>0.72</v>
      </c>
      <c r="J310" s="44">
        <v>0.09</v>
      </c>
      <c r="K310" s="53">
        <v>0.53600000000000003</v>
      </c>
      <c r="L310" s="67">
        <v>0.85099999999999998</v>
      </c>
      <c r="M310" s="48">
        <v>0.24399999999999999</v>
      </c>
      <c r="N310" s="44">
        <v>4.1000000000000002E-2</v>
      </c>
      <c r="O310" s="18">
        <v>570</v>
      </c>
      <c r="P310" s="1" t="s">
        <v>5</v>
      </c>
      <c r="Q310" s="2"/>
      <c r="R310" s="3" t="s">
        <v>2</v>
      </c>
      <c r="S310" s="4">
        <v>49</v>
      </c>
      <c r="T310" s="4">
        <v>55</v>
      </c>
      <c r="U310" s="4">
        <v>61</v>
      </c>
      <c r="V310" s="3" t="s">
        <v>2</v>
      </c>
      <c r="W310" s="4">
        <v>67</v>
      </c>
      <c r="X310" s="4">
        <v>73</v>
      </c>
      <c r="Y310" s="4">
        <v>79</v>
      </c>
      <c r="Z310" s="3" t="s">
        <v>2</v>
      </c>
      <c r="AA310" s="4">
        <v>85</v>
      </c>
      <c r="AB310" s="5"/>
    </row>
    <row r="311" spans="2:38" x14ac:dyDescent="0.2">
      <c r="B311" s="43" t="s">
        <v>6</v>
      </c>
      <c r="C311" s="44">
        <v>4.2000000000000003E-2</v>
      </c>
      <c r="D311" s="44">
        <v>0.11</v>
      </c>
      <c r="E311" s="50">
        <v>0.34799999999999998</v>
      </c>
      <c r="F311" s="56">
        <v>0.70799999999999996</v>
      </c>
      <c r="G311" s="53">
        <v>0.52600000000000002</v>
      </c>
      <c r="H311" s="47">
        <v>0.155</v>
      </c>
      <c r="I311" s="67">
        <v>0.86499999999999999</v>
      </c>
      <c r="J311" s="44">
        <v>0.113</v>
      </c>
      <c r="K311" s="53">
        <v>0.57199999999999995</v>
      </c>
      <c r="L311" s="47">
        <v>0.13700000000000001</v>
      </c>
      <c r="M311" s="44">
        <v>5.2999999999999999E-2</v>
      </c>
      <c r="N311" s="44">
        <v>4.1000000000000002E-2</v>
      </c>
      <c r="O311" s="18">
        <v>570</v>
      </c>
      <c r="P311" s="1" t="s">
        <v>6</v>
      </c>
      <c r="Q311" s="2"/>
      <c r="R311" s="6" t="s">
        <v>4</v>
      </c>
      <c r="S311" s="4">
        <v>50</v>
      </c>
      <c r="T311" s="4">
        <v>56</v>
      </c>
      <c r="U311" s="4">
        <v>62</v>
      </c>
      <c r="V311" s="6" t="s">
        <v>4</v>
      </c>
      <c r="W311" s="4">
        <v>68</v>
      </c>
      <c r="X311" s="4">
        <v>74</v>
      </c>
      <c r="Y311" s="4">
        <v>80</v>
      </c>
      <c r="Z311" s="6" t="s">
        <v>4</v>
      </c>
      <c r="AA311" s="4">
        <v>86</v>
      </c>
      <c r="AB311" s="5"/>
    </row>
    <row r="312" spans="2:38" x14ac:dyDescent="0.2">
      <c r="B312" s="43" t="s">
        <v>7</v>
      </c>
      <c r="C312" s="44">
        <v>4.1000000000000002E-2</v>
      </c>
      <c r="D312" s="54">
        <v>1.1180000000000001</v>
      </c>
      <c r="E312" s="44">
        <v>5.7000000000000002E-2</v>
      </c>
      <c r="F312" s="56">
        <v>0.70699999999999996</v>
      </c>
      <c r="G312" s="50">
        <v>0.34100000000000003</v>
      </c>
      <c r="H312" s="54">
        <v>1.129</v>
      </c>
      <c r="I312" s="67">
        <v>0.89</v>
      </c>
      <c r="J312" s="44">
        <v>8.8999999999999996E-2</v>
      </c>
      <c r="K312" s="46">
        <v>0.61599999999999999</v>
      </c>
      <c r="L312" s="45">
        <v>1.014</v>
      </c>
      <c r="M312" s="56">
        <v>0.71</v>
      </c>
      <c r="N312" s="44">
        <v>4.1000000000000002E-2</v>
      </c>
      <c r="O312" s="18">
        <v>570</v>
      </c>
      <c r="P312" s="1" t="s">
        <v>7</v>
      </c>
      <c r="Q312" s="2"/>
      <c r="R312" s="3" t="s">
        <v>2</v>
      </c>
      <c r="S312" s="4">
        <v>51</v>
      </c>
      <c r="T312" s="4">
        <v>57</v>
      </c>
      <c r="U312" s="4">
        <v>63</v>
      </c>
      <c r="V312" s="3" t="s">
        <v>2</v>
      </c>
      <c r="W312" s="4">
        <v>69</v>
      </c>
      <c r="X312" s="4">
        <v>75</v>
      </c>
      <c r="Y312" s="4">
        <v>81</v>
      </c>
      <c r="Z312" s="3" t="s">
        <v>2</v>
      </c>
      <c r="AA312" s="4">
        <v>87</v>
      </c>
      <c r="AB312" s="5"/>
    </row>
    <row r="313" spans="2:38" x14ac:dyDescent="0.2">
      <c r="B313" s="43" t="s">
        <v>8</v>
      </c>
      <c r="C313" s="44">
        <v>4.1000000000000002E-2</v>
      </c>
      <c r="D313" s="47">
        <v>0.13700000000000001</v>
      </c>
      <c r="E313" s="44">
        <v>4.5999999999999999E-2</v>
      </c>
      <c r="F313" s="67">
        <v>0.84399999999999997</v>
      </c>
      <c r="G313" s="51">
        <v>0.36599999999999999</v>
      </c>
      <c r="H313" s="48">
        <v>0.216</v>
      </c>
      <c r="I313" s="49">
        <v>0.95699999999999996</v>
      </c>
      <c r="J313" s="52">
        <v>0.44</v>
      </c>
      <c r="K313" s="53">
        <v>0.57799999999999996</v>
      </c>
      <c r="L313" s="47">
        <v>0.14499999999999999</v>
      </c>
      <c r="M313" s="55">
        <v>0.78200000000000003</v>
      </c>
      <c r="N313" s="44">
        <v>4.1000000000000002E-2</v>
      </c>
      <c r="O313" s="18">
        <v>570</v>
      </c>
      <c r="P313" s="1" t="s">
        <v>8</v>
      </c>
      <c r="Q313" s="2"/>
      <c r="R313" s="6" t="s">
        <v>4</v>
      </c>
      <c r="S313" s="4">
        <v>52</v>
      </c>
      <c r="T313" s="4">
        <v>58</v>
      </c>
      <c r="U313" s="4">
        <v>64</v>
      </c>
      <c r="V313" s="6" t="s">
        <v>4</v>
      </c>
      <c r="W313" s="4">
        <v>70</v>
      </c>
      <c r="X313" s="4">
        <v>76</v>
      </c>
      <c r="Y313" s="4">
        <v>82</v>
      </c>
      <c r="Z313" s="6" t="s">
        <v>4</v>
      </c>
      <c r="AA313" s="4">
        <v>88</v>
      </c>
      <c r="AB313" s="5"/>
    </row>
    <row r="314" spans="2:38" x14ac:dyDescent="0.2">
      <c r="B314" s="43" t="s">
        <v>9</v>
      </c>
      <c r="C314" s="44">
        <v>4.1000000000000002E-2</v>
      </c>
      <c r="D314" s="44">
        <v>4.2000000000000003E-2</v>
      </c>
      <c r="E314" s="44">
        <v>4.1000000000000002E-2</v>
      </c>
      <c r="F314" s="44">
        <v>4.2999999999999997E-2</v>
      </c>
      <c r="G314" s="44">
        <v>4.2000000000000003E-2</v>
      </c>
      <c r="H314" s="44">
        <v>4.2000000000000003E-2</v>
      </c>
      <c r="I314" s="44">
        <v>4.1000000000000002E-2</v>
      </c>
      <c r="J314" s="44">
        <v>4.2999999999999997E-2</v>
      </c>
      <c r="K314" s="44">
        <v>4.2000000000000003E-2</v>
      </c>
      <c r="L314" s="44">
        <v>4.2999999999999997E-2</v>
      </c>
      <c r="M314" s="44">
        <v>4.1000000000000002E-2</v>
      </c>
      <c r="N314" s="44">
        <v>4.2999999999999997E-2</v>
      </c>
      <c r="O314" s="18">
        <v>570</v>
      </c>
      <c r="P314" s="1" t="s">
        <v>9</v>
      </c>
      <c r="Q314" s="2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6" spans="2:38" x14ac:dyDescent="0.2">
      <c r="B316" s="57" t="s">
        <v>42</v>
      </c>
      <c r="P316" s="57" t="s">
        <v>43</v>
      </c>
    </row>
    <row r="317" spans="2:38" x14ac:dyDescent="0.2">
      <c r="C317" s="58" t="s">
        <v>44</v>
      </c>
      <c r="D317">
        <f>AVERAGE(D314:N314,N307:N313,D307:M307,C307:C314)</f>
        <v>4.1555555555555561E-2</v>
      </c>
      <c r="AE317" t="s">
        <v>45</v>
      </c>
      <c r="AH317" t="s">
        <v>46</v>
      </c>
    </row>
    <row r="318" spans="2:38" x14ac:dyDescent="0.2">
      <c r="C318" s="58" t="s">
        <v>47</v>
      </c>
      <c r="D318">
        <f>D308</f>
        <v>0.95</v>
      </c>
      <c r="E318">
        <f>D310</f>
        <v>0.97799999999999998</v>
      </c>
      <c r="F318">
        <f>D312</f>
        <v>1.1180000000000001</v>
      </c>
      <c r="G318">
        <f>H308</f>
        <v>0.85199999999999998</v>
      </c>
      <c r="H318">
        <f>H310</f>
        <v>1.0940000000000001</v>
      </c>
      <c r="I318">
        <f>H312</f>
        <v>1.129</v>
      </c>
      <c r="J318">
        <f>L308</f>
        <v>0.8</v>
      </c>
      <c r="K318">
        <f>L310</f>
        <v>0.85099999999999998</v>
      </c>
      <c r="L318">
        <f>L312</f>
        <v>1.014</v>
      </c>
      <c r="Q318" s="58" t="s">
        <v>47</v>
      </c>
      <c r="R318">
        <f>D318-$D$317</f>
        <v>0.90844444444444439</v>
      </c>
      <c r="S318">
        <f t="shared" ref="S318:Y318" si="100">E318-$D$317</f>
        <v>0.93644444444444441</v>
      </c>
      <c r="T318">
        <f t="shared" si="100"/>
        <v>1.0764444444444445</v>
      </c>
      <c r="U318">
        <f t="shared" si="100"/>
        <v>0.81044444444444441</v>
      </c>
      <c r="V318">
        <f t="shared" si="100"/>
        <v>1.0524444444444445</v>
      </c>
      <c r="W318">
        <f t="shared" si="100"/>
        <v>1.0874444444444444</v>
      </c>
      <c r="X318">
        <f t="shared" si="100"/>
        <v>0.75844444444444448</v>
      </c>
      <c r="Y318">
        <f t="shared" si="100"/>
        <v>0.80944444444444441</v>
      </c>
      <c r="Z318">
        <f>L318-$D$317</f>
        <v>0.97244444444444444</v>
      </c>
      <c r="AE318" t="s">
        <v>48</v>
      </c>
      <c r="AF318">
        <f>AVERAGE(R318:Z318)</f>
        <v>0.93466666666666676</v>
      </c>
      <c r="AH318" t="s">
        <v>48</v>
      </c>
      <c r="AI318">
        <f>AVERAGE(R320:Z320)</f>
        <v>0.10144444444444443</v>
      </c>
      <c r="AK318" s="59" t="s">
        <v>49</v>
      </c>
      <c r="AL318" s="59">
        <f>1- ((3*(AF319+AI319))/(AF318-AI318))</f>
        <v>0.43966101730604545</v>
      </c>
    </row>
    <row r="319" spans="2:38" x14ac:dyDescent="0.2">
      <c r="C319" s="58"/>
      <c r="G319" s="60"/>
      <c r="Q319" s="58"/>
      <c r="AE319" t="s">
        <v>50</v>
      </c>
      <c r="AF319">
        <f>STDEV(R318:Z318)</f>
        <v>0.12328704086173958</v>
      </c>
      <c r="AH319" t="s">
        <v>50</v>
      </c>
      <c r="AI319">
        <f>STDEV(R320:Z320)</f>
        <v>3.2341923257592463E-2</v>
      </c>
      <c r="AK319" s="59"/>
      <c r="AL319" s="59"/>
    </row>
    <row r="320" spans="2:38" x14ac:dyDescent="0.2">
      <c r="C320" s="58" t="s">
        <v>4</v>
      </c>
      <c r="D320">
        <f>D309</f>
        <v>0.155</v>
      </c>
      <c r="E320">
        <f>D311</f>
        <v>0.11</v>
      </c>
      <c r="F320">
        <f>D313</f>
        <v>0.13700000000000001</v>
      </c>
      <c r="G320">
        <f>H309</f>
        <v>0.108</v>
      </c>
      <c r="H320">
        <f>H311</f>
        <v>0.155</v>
      </c>
      <c r="I320">
        <f>H313</f>
        <v>0.216</v>
      </c>
      <c r="J320">
        <f>L309</f>
        <v>0.124</v>
      </c>
      <c r="K320">
        <f>L311</f>
        <v>0.13700000000000001</v>
      </c>
      <c r="L320">
        <f>L313</f>
        <v>0.14499999999999999</v>
      </c>
      <c r="Q320" s="58" t="s">
        <v>4</v>
      </c>
      <c r="R320">
        <f>D320-$D$317</f>
        <v>0.11344444444444443</v>
      </c>
      <c r="S320">
        <f t="shared" ref="S320:Y320" si="101">E320-$D$317</f>
        <v>6.8444444444444447E-2</v>
      </c>
      <c r="T320">
        <f t="shared" si="101"/>
        <v>9.5444444444444443E-2</v>
      </c>
      <c r="U320">
        <f t="shared" si="101"/>
        <v>6.6444444444444445E-2</v>
      </c>
      <c r="V320">
        <f t="shared" si="101"/>
        <v>0.11344444444444443</v>
      </c>
      <c r="W320">
        <f t="shared" si="101"/>
        <v>0.17444444444444443</v>
      </c>
      <c r="X320">
        <f t="shared" si="101"/>
        <v>8.2444444444444431E-2</v>
      </c>
      <c r="Y320">
        <f t="shared" si="101"/>
        <v>9.5444444444444443E-2</v>
      </c>
      <c r="Z320">
        <f>L320-$D$317</f>
        <v>0.10344444444444442</v>
      </c>
      <c r="AB320" s="58" t="s">
        <v>51</v>
      </c>
      <c r="AC320" s="58" t="s">
        <v>52</v>
      </c>
      <c r="AD320" s="58"/>
      <c r="AE320" t="s">
        <v>53</v>
      </c>
      <c r="AF320">
        <f>AF319*100/AF318</f>
        <v>13.190482260528485</v>
      </c>
    </row>
    <row r="321" spans="3:32" x14ac:dyDescent="0.2">
      <c r="C321" s="58"/>
      <c r="D321" s="60"/>
      <c r="Q321" s="58"/>
      <c r="AB321" s="58"/>
      <c r="AC321" s="58"/>
      <c r="AD321" s="58"/>
      <c r="AE321" t="s">
        <v>54</v>
      </c>
      <c r="AF321">
        <f>3*AF319</f>
        <v>0.36986112258521875</v>
      </c>
    </row>
    <row r="322" spans="3:32" x14ac:dyDescent="0.2">
      <c r="C322" s="61">
        <f t="shared" ref="C322:C327" si="102">S308</f>
        <v>47</v>
      </c>
      <c r="D322">
        <f t="shared" ref="D322:D327" si="103">E308</f>
        <v>0.129</v>
      </c>
      <c r="P322" s="60"/>
      <c r="Q322" s="62">
        <f>C322</f>
        <v>47</v>
      </c>
      <c r="R322">
        <f>D322-$D$317</f>
        <v>8.7444444444444436E-2</v>
      </c>
      <c r="S322" s="60"/>
      <c r="Z322" s="60"/>
      <c r="AA322" s="62">
        <f>C322</f>
        <v>47</v>
      </c>
      <c r="AB322">
        <f>R322*100/$AF$318</f>
        <v>9.3556823585354234</v>
      </c>
    </row>
    <row r="323" spans="3:32" x14ac:dyDescent="0.2">
      <c r="C323" s="61">
        <f t="shared" si="102"/>
        <v>48</v>
      </c>
      <c r="D323">
        <f t="shared" si="103"/>
        <v>0.29299999999999998</v>
      </c>
      <c r="P323" s="60"/>
      <c r="Q323" s="62">
        <f t="shared" ref="Q323:Q363" si="104">C323</f>
        <v>48</v>
      </c>
      <c r="R323">
        <f t="shared" ref="R323:R363" si="105">D323-$D$317</f>
        <v>0.25144444444444441</v>
      </c>
      <c r="S323" s="60"/>
      <c r="Z323" s="60"/>
      <c r="AA323" s="62">
        <f t="shared" ref="AA323:AA363" si="106">C323</f>
        <v>48</v>
      </c>
      <c r="AB323">
        <f>R323*100/$AF$318</f>
        <v>26.9020446980504</v>
      </c>
    </row>
    <row r="324" spans="3:32" x14ac:dyDescent="0.2">
      <c r="C324" s="61">
        <f t="shared" si="102"/>
        <v>49</v>
      </c>
      <c r="D324">
        <f t="shared" si="103"/>
        <v>0.43</v>
      </c>
      <c r="P324" s="60"/>
      <c r="Q324" s="62">
        <f t="shared" si="104"/>
        <v>49</v>
      </c>
      <c r="R324">
        <f t="shared" si="105"/>
        <v>0.38844444444444443</v>
      </c>
      <c r="S324" s="60"/>
      <c r="Z324" s="60"/>
      <c r="AA324" s="62">
        <f t="shared" si="106"/>
        <v>49</v>
      </c>
      <c r="AB324">
        <f t="shared" ref="AB324:AB362" si="107">R324*100/$AF$318</f>
        <v>41.559676652401322</v>
      </c>
    </row>
    <row r="325" spans="3:32" x14ac:dyDescent="0.2">
      <c r="C325" s="61">
        <f t="shared" si="102"/>
        <v>50</v>
      </c>
      <c r="D325">
        <f t="shared" si="103"/>
        <v>0.34799999999999998</v>
      </c>
      <c r="P325" s="60"/>
      <c r="Q325" s="62">
        <f>C325</f>
        <v>50</v>
      </c>
      <c r="R325">
        <f>D325-$D$317</f>
        <v>0.30644444444444441</v>
      </c>
      <c r="S325" s="60"/>
      <c r="Z325" s="60"/>
      <c r="AA325" s="62">
        <f t="shared" si="106"/>
        <v>50</v>
      </c>
      <c r="AB325">
        <f t="shared" si="107"/>
        <v>32.786495482643836</v>
      </c>
    </row>
    <row r="326" spans="3:32" x14ac:dyDescent="0.2">
      <c r="C326" s="61">
        <f t="shared" si="102"/>
        <v>51</v>
      </c>
      <c r="D326">
        <f t="shared" si="103"/>
        <v>5.7000000000000002E-2</v>
      </c>
      <c r="P326" s="60"/>
      <c r="Q326" s="62">
        <f t="shared" si="104"/>
        <v>51</v>
      </c>
      <c r="R326">
        <f>D326-$D$317</f>
        <v>1.5444444444444441E-2</v>
      </c>
      <c r="S326" s="60"/>
      <c r="Z326" s="60"/>
      <c r="AA326" s="62">
        <f t="shared" si="106"/>
        <v>51</v>
      </c>
      <c r="AB326">
        <f t="shared" si="107"/>
        <v>1.652401331431288</v>
      </c>
    </row>
    <row r="327" spans="3:32" x14ac:dyDescent="0.2">
      <c r="C327" s="61">
        <f t="shared" si="102"/>
        <v>52</v>
      </c>
      <c r="D327">
        <f t="shared" si="103"/>
        <v>4.5999999999999999E-2</v>
      </c>
      <c r="P327" s="60"/>
      <c r="Q327" s="62">
        <f t="shared" si="104"/>
        <v>52</v>
      </c>
      <c r="R327">
        <f t="shared" si="105"/>
        <v>4.4444444444444384E-3</v>
      </c>
      <c r="S327" s="60"/>
      <c r="Z327" s="60"/>
      <c r="AA327" s="62">
        <f t="shared" si="106"/>
        <v>52</v>
      </c>
      <c r="AB327">
        <f t="shared" si="107"/>
        <v>0.47551117451260039</v>
      </c>
    </row>
    <row r="328" spans="3:32" x14ac:dyDescent="0.2">
      <c r="C328" s="61">
        <f t="shared" ref="C328:C333" si="108">T308</f>
        <v>53</v>
      </c>
      <c r="D328">
        <f t="shared" ref="D328:D333" si="109">F308</f>
        <v>6.5000000000000002E-2</v>
      </c>
      <c r="P328" s="60"/>
      <c r="Q328" s="62">
        <f t="shared" si="104"/>
        <v>53</v>
      </c>
      <c r="R328">
        <f>D328-$D$317</f>
        <v>2.3444444444444441E-2</v>
      </c>
      <c r="S328" s="60"/>
      <c r="Z328" s="60"/>
      <c r="AA328" s="62">
        <f t="shared" si="106"/>
        <v>53</v>
      </c>
      <c r="AB328">
        <f t="shared" si="107"/>
        <v>2.5083214455539697</v>
      </c>
    </row>
    <row r="329" spans="3:32" x14ac:dyDescent="0.2">
      <c r="C329" s="61">
        <f t="shared" si="108"/>
        <v>54</v>
      </c>
      <c r="D329">
        <f t="shared" si="109"/>
        <v>0.10100000000000001</v>
      </c>
      <c r="P329" s="60"/>
      <c r="Q329" s="62">
        <f t="shared" si="104"/>
        <v>54</v>
      </c>
      <c r="R329">
        <f>D329-$D$317</f>
        <v>5.9444444444444446E-2</v>
      </c>
      <c r="S329" s="60"/>
      <c r="Z329" s="60"/>
      <c r="AA329" s="62">
        <f t="shared" si="106"/>
        <v>54</v>
      </c>
      <c r="AB329">
        <f>R329*100/$AF$318</f>
        <v>6.3599619591060383</v>
      </c>
    </row>
    <row r="330" spans="3:32" x14ac:dyDescent="0.2">
      <c r="C330" s="61">
        <f t="shared" si="108"/>
        <v>55</v>
      </c>
      <c r="D330">
        <f t="shared" si="109"/>
        <v>0.69299999999999995</v>
      </c>
      <c r="P330" s="60"/>
      <c r="Q330" s="62">
        <f t="shared" si="104"/>
        <v>55</v>
      </c>
      <c r="R330">
        <f t="shared" si="105"/>
        <v>0.65144444444444438</v>
      </c>
      <c r="S330" s="60"/>
      <c r="Z330" s="60"/>
      <c r="AA330" s="62">
        <f t="shared" si="106"/>
        <v>55</v>
      </c>
      <c r="AB330">
        <f t="shared" si="107"/>
        <v>69.698050404184471</v>
      </c>
    </row>
    <row r="331" spans="3:32" x14ac:dyDescent="0.2">
      <c r="C331" s="61">
        <f t="shared" si="108"/>
        <v>56</v>
      </c>
      <c r="D331">
        <f t="shared" si="109"/>
        <v>0.70799999999999996</v>
      </c>
      <c r="P331" s="60"/>
      <c r="Q331" s="62">
        <f t="shared" si="104"/>
        <v>56</v>
      </c>
      <c r="R331">
        <f t="shared" si="105"/>
        <v>0.66644444444444439</v>
      </c>
      <c r="S331" s="60"/>
      <c r="Z331" s="60"/>
      <c r="AA331" s="62">
        <f t="shared" si="106"/>
        <v>56</v>
      </c>
      <c r="AB331">
        <f t="shared" si="107"/>
        <v>71.302900618164514</v>
      </c>
    </row>
    <row r="332" spans="3:32" x14ac:dyDescent="0.2">
      <c r="C332" s="61">
        <f t="shared" si="108"/>
        <v>57</v>
      </c>
      <c r="D332">
        <f t="shared" si="109"/>
        <v>0.70699999999999996</v>
      </c>
      <c r="P332" s="60"/>
      <c r="Q332" s="62">
        <f t="shared" si="104"/>
        <v>57</v>
      </c>
      <c r="R332">
        <f t="shared" si="105"/>
        <v>0.66544444444444439</v>
      </c>
      <c r="S332" s="60"/>
      <c r="Z332" s="60"/>
      <c r="AA332" s="62">
        <f t="shared" si="106"/>
        <v>57</v>
      </c>
      <c r="AB332">
        <f t="shared" si="107"/>
        <v>71.195910603899179</v>
      </c>
    </row>
    <row r="333" spans="3:32" x14ac:dyDescent="0.2">
      <c r="C333" s="61">
        <f t="shared" si="108"/>
        <v>58</v>
      </c>
      <c r="D333">
        <f t="shared" si="109"/>
        <v>0.84399999999999997</v>
      </c>
      <c r="P333" s="60"/>
      <c r="Q333" s="62">
        <f t="shared" si="104"/>
        <v>58</v>
      </c>
      <c r="R333">
        <f t="shared" si="105"/>
        <v>0.8024444444444444</v>
      </c>
      <c r="S333" s="60"/>
      <c r="Z333" s="60"/>
      <c r="AA333" s="62">
        <f t="shared" si="106"/>
        <v>58</v>
      </c>
      <c r="AB333">
        <f t="shared" si="107"/>
        <v>85.853542558250112</v>
      </c>
    </row>
    <row r="334" spans="3:32" x14ac:dyDescent="0.2">
      <c r="C334" s="61">
        <f t="shared" ref="C334:C339" si="110">U308</f>
        <v>59</v>
      </c>
      <c r="D334">
        <f t="shared" ref="D334:D339" si="111">G308</f>
        <v>0.378</v>
      </c>
      <c r="P334" s="60"/>
      <c r="Q334" s="62">
        <f t="shared" si="104"/>
        <v>59</v>
      </c>
      <c r="R334">
        <f t="shared" si="105"/>
        <v>0.33644444444444443</v>
      </c>
      <c r="S334" s="60"/>
      <c r="Z334" s="60"/>
      <c r="AA334" s="62">
        <f t="shared" si="106"/>
        <v>59</v>
      </c>
      <c r="AB334">
        <f t="shared" si="107"/>
        <v>35.996195910603895</v>
      </c>
    </row>
    <row r="335" spans="3:32" x14ac:dyDescent="0.2">
      <c r="C335" s="61">
        <f t="shared" si="110"/>
        <v>60</v>
      </c>
      <c r="D335">
        <f t="shared" si="111"/>
        <v>0.27300000000000002</v>
      </c>
      <c r="P335" s="60"/>
      <c r="Q335" s="62">
        <f t="shared" si="104"/>
        <v>60</v>
      </c>
      <c r="R335">
        <f t="shared" si="105"/>
        <v>0.23144444444444445</v>
      </c>
      <c r="S335" s="60"/>
      <c r="Z335" s="60"/>
      <c r="AA335" s="62">
        <f t="shared" si="106"/>
        <v>60</v>
      </c>
      <c r="AB335">
        <f t="shared" si="107"/>
        <v>24.762244412743698</v>
      </c>
    </row>
    <row r="336" spans="3:32" x14ac:dyDescent="0.2">
      <c r="C336" s="61">
        <f t="shared" si="110"/>
        <v>61</v>
      </c>
      <c r="D336">
        <f t="shared" si="111"/>
        <v>6.9000000000000006E-2</v>
      </c>
      <c r="P336" s="60"/>
      <c r="Q336" s="62">
        <f t="shared" si="104"/>
        <v>61</v>
      </c>
      <c r="R336">
        <f t="shared" si="105"/>
        <v>2.7444444444444445E-2</v>
      </c>
      <c r="S336" s="60"/>
      <c r="Z336" s="60"/>
      <c r="AA336" s="62">
        <f t="shared" si="106"/>
        <v>61</v>
      </c>
      <c r="AB336">
        <f t="shared" si="107"/>
        <v>2.9362815026153113</v>
      </c>
    </row>
    <row r="337" spans="3:28" x14ac:dyDescent="0.2">
      <c r="C337" s="61">
        <f t="shared" si="110"/>
        <v>62</v>
      </c>
      <c r="D337">
        <f t="shared" si="111"/>
        <v>0.52600000000000002</v>
      </c>
      <c r="P337" s="60"/>
      <c r="Q337" s="62">
        <f t="shared" si="104"/>
        <v>62</v>
      </c>
      <c r="R337">
        <f t="shared" si="105"/>
        <v>0.48444444444444446</v>
      </c>
      <c r="S337" s="60"/>
      <c r="Z337" s="60"/>
      <c r="AA337" s="62">
        <f t="shared" si="106"/>
        <v>62</v>
      </c>
      <c r="AB337">
        <f t="shared" si="107"/>
        <v>51.830718021873508</v>
      </c>
    </row>
    <row r="338" spans="3:28" x14ac:dyDescent="0.2">
      <c r="C338" s="61">
        <f t="shared" si="110"/>
        <v>63</v>
      </c>
      <c r="D338">
        <f t="shared" si="111"/>
        <v>0.34100000000000003</v>
      </c>
      <c r="P338" s="60"/>
      <c r="Q338" s="62">
        <f t="shared" si="104"/>
        <v>63</v>
      </c>
      <c r="R338">
        <f t="shared" si="105"/>
        <v>0.29944444444444446</v>
      </c>
      <c r="S338" s="60"/>
      <c r="Z338" s="60"/>
      <c r="AA338" s="62">
        <f t="shared" si="106"/>
        <v>63</v>
      </c>
      <c r="AB338">
        <f t="shared" si="107"/>
        <v>32.037565382786497</v>
      </c>
    </row>
    <row r="339" spans="3:28" x14ac:dyDescent="0.2">
      <c r="C339" s="61">
        <f t="shared" si="110"/>
        <v>64</v>
      </c>
      <c r="D339">
        <f t="shared" si="111"/>
        <v>0.36599999999999999</v>
      </c>
      <c r="P339" s="60"/>
      <c r="Q339" s="62">
        <f t="shared" si="104"/>
        <v>64</v>
      </c>
      <c r="R339">
        <f t="shared" si="105"/>
        <v>0.32444444444444442</v>
      </c>
      <c r="S339" s="60"/>
      <c r="Z339" s="60"/>
      <c r="AA339" s="62">
        <f t="shared" si="106"/>
        <v>64</v>
      </c>
      <c r="AB339">
        <f t="shared" si="107"/>
        <v>34.712315739419871</v>
      </c>
    </row>
    <row r="340" spans="3:28" x14ac:dyDescent="0.2">
      <c r="C340" s="61">
        <f t="shared" ref="C340:C345" si="112">W308</f>
        <v>65</v>
      </c>
      <c r="D340">
        <f t="shared" ref="D340:D345" si="113">I308</f>
        <v>0.26900000000000002</v>
      </c>
      <c r="P340" s="60"/>
      <c r="Q340" s="62">
        <f t="shared" si="104"/>
        <v>65</v>
      </c>
      <c r="R340">
        <f t="shared" si="105"/>
        <v>0.22744444444444445</v>
      </c>
      <c r="S340" s="60"/>
      <c r="Z340" s="60"/>
      <c r="AA340" s="62">
        <f t="shared" si="106"/>
        <v>65</v>
      </c>
      <c r="AB340">
        <f t="shared" si="107"/>
        <v>24.334284355682357</v>
      </c>
    </row>
    <row r="341" spans="3:28" x14ac:dyDescent="0.2">
      <c r="C341" s="61">
        <f t="shared" si="112"/>
        <v>66</v>
      </c>
      <c r="D341">
        <f t="shared" si="113"/>
        <v>0.251</v>
      </c>
      <c r="P341" s="60"/>
      <c r="Q341" s="62">
        <f t="shared" si="104"/>
        <v>66</v>
      </c>
      <c r="R341">
        <f t="shared" si="105"/>
        <v>0.20944444444444443</v>
      </c>
      <c r="S341" s="60"/>
      <c r="Z341" s="60"/>
      <c r="AA341" s="62">
        <f t="shared" si="106"/>
        <v>66</v>
      </c>
      <c r="AB341">
        <f t="shared" si="107"/>
        <v>22.408464098906322</v>
      </c>
    </row>
    <row r="342" spans="3:28" x14ac:dyDescent="0.2">
      <c r="C342" s="61">
        <f t="shared" si="112"/>
        <v>67</v>
      </c>
      <c r="D342">
        <f t="shared" si="113"/>
        <v>0.72</v>
      </c>
      <c r="P342" s="60"/>
      <c r="Q342" s="62">
        <f t="shared" si="104"/>
        <v>67</v>
      </c>
      <c r="R342">
        <f>D342-$D$317</f>
        <v>0.67844444444444441</v>
      </c>
      <c r="S342" s="60"/>
      <c r="Z342" s="60"/>
      <c r="AA342" s="62">
        <f t="shared" si="106"/>
        <v>67</v>
      </c>
      <c r="AB342">
        <f t="shared" si="107"/>
        <v>72.586780789348538</v>
      </c>
    </row>
    <row r="343" spans="3:28" x14ac:dyDescent="0.2">
      <c r="C343" s="61">
        <f t="shared" si="112"/>
        <v>68</v>
      </c>
      <c r="D343">
        <f t="shared" si="113"/>
        <v>0.86499999999999999</v>
      </c>
      <c r="P343" s="60"/>
      <c r="Q343" s="62">
        <f t="shared" si="104"/>
        <v>68</v>
      </c>
      <c r="R343">
        <f t="shared" si="105"/>
        <v>0.82344444444444442</v>
      </c>
      <c r="S343" s="60"/>
      <c r="Z343" s="60"/>
      <c r="AA343" s="62">
        <f t="shared" si="106"/>
        <v>68</v>
      </c>
      <c r="AB343">
        <f t="shared" si="107"/>
        <v>88.100332857822153</v>
      </c>
    </row>
    <row r="344" spans="3:28" x14ac:dyDescent="0.2">
      <c r="C344" s="61">
        <f t="shared" si="112"/>
        <v>69</v>
      </c>
      <c r="D344">
        <f t="shared" si="113"/>
        <v>0.89</v>
      </c>
      <c r="P344" s="60"/>
      <c r="Q344" s="62">
        <f t="shared" si="104"/>
        <v>69</v>
      </c>
      <c r="R344">
        <f t="shared" si="105"/>
        <v>0.84844444444444445</v>
      </c>
      <c r="S344" s="60"/>
      <c r="Z344" s="60"/>
      <c r="AA344" s="62">
        <f t="shared" si="106"/>
        <v>69</v>
      </c>
      <c r="AB344">
        <f t="shared" si="107"/>
        <v>90.775083214455535</v>
      </c>
    </row>
    <row r="345" spans="3:28" x14ac:dyDescent="0.2">
      <c r="C345" s="61">
        <f t="shared" si="112"/>
        <v>70</v>
      </c>
      <c r="D345">
        <f t="shared" si="113"/>
        <v>0.95699999999999996</v>
      </c>
      <c r="P345" s="60"/>
      <c r="Q345" s="62">
        <f t="shared" si="104"/>
        <v>70</v>
      </c>
      <c r="R345">
        <f t="shared" si="105"/>
        <v>0.91544444444444439</v>
      </c>
      <c r="S345" s="60"/>
      <c r="Z345" s="60"/>
      <c r="AA345" s="62">
        <f t="shared" si="106"/>
        <v>70</v>
      </c>
      <c r="AB345">
        <f t="shared" si="107"/>
        <v>97.943414170232984</v>
      </c>
    </row>
    <row r="346" spans="3:28" x14ac:dyDescent="0.2">
      <c r="C346" s="61">
        <f t="shared" ref="C346:C351" si="114">X308</f>
        <v>71</v>
      </c>
      <c r="D346">
        <f t="shared" ref="D346:D351" si="115">J308</f>
        <v>4.2999999999999997E-2</v>
      </c>
      <c r="P346" s="60"/>
      <c r="Q346" s="62">
        <f t="shared" si="104"/>
        <v>71</v>
      </c>
      <c r="R346">
        <f t="shared" si="105"/>
        <v>1.4444444444444357E-3</v>
      </c>
      <c r="S346" s="60"/>
      <c r="Z346" s="60"/>
      <c r="AA346" s="62">
        <f t="shared" si="106"/>
        <v>71</v>
      </c>
      <c r="AB346">
        <f t="shared" si="107"/>
        <v>0.15454113171659439</v>
      </c>
    </row>
    <row r="347" spans="3:28" x14ac:dyDescent="0.2">
      <c r="C347" s="61">
        <f t="shared" si="114"/>
        <v>72</v>
      </c>
      <c r="D347">
        <f t="shared" si="115"/>
        <v>4.5999999999999999E-2</v>
      </c>
      <c r="P347" s="60"/>
      <c r="Q347" s="62">
        <f t="shared" si="104"/>
        <v>72</v>
      </c>
      <c r="R347">
        <f t="shared" si="105"/>
        <v>4.4444444444444384E-3</v>
      </c>
      <c r="S347" s="60"/>
      <c r="Z347" s="60"/>
      <c r="AA347" s="62">
        <f t="shared" si="106"/>
        <v>72</v>
      </c>
      <c r="AB347">
        <f t="shared" si="107"/>
        <v>0.47551117451260039</v>
      </c>
    </row>
    <row r="348" spans="3:28" x14ac:dyDescent="0.2">
      <c r="C348" s="61">
        <f t="shared" si="114"/>
        <v>73</v>
      </c>
      <c r="D348">
        <f t="shared" si="115"/>
        <v>0.09</v>
      </c>
      <c r="P348" s="60"/>
      <c r="Q348" s="62">
        <f t="shared" si="104"/>
        <v>73</v>
      </c>
      <c r="R348">
        <f t="shared" si="105"/>
        <v>4.8444444444444436E-2</v>
      </c>
      <c r="S348" s="60"/>
      <c r="Z348" s="60"/>
      <c r="AA348" s="62">
        <f t="shared" si="106"/>
        <v>73</v>
      </c>
      <c r="AB348">
        <f t="shared" si="107"/>
        <v>5.1830718021873494</v>
      </c>
    </row>
    <row r="349" spans="3:28" x14ac:dyDescent="0.2">
      <c r="C349" s="61">
        <f t="shared" si="114"/>
        <v>74</v>
      </c>
      <c r="D349">
        <f t="shared" si="115"/>
        <v>0.113</v>
      </c>
      <c r="P349" s="60"/>
      <c r="Q349" s="62">
        <f t="shared" si="104"/>
        <v>74</v>
      </c>
      <c r="R349">
        <f t="shared" si="105"/>
        <v>7.1444444444444449E-2</v>
      </c>
      <c r="S349" s="60"/>
      <c r="Z349" s="60"/>
      <c r="AA349" s="62">
        <f t="shared" si="106"/>
        <v>74</v>
      </c>
      <c r="AB349">
        <f t="shared" si="107"/>
        <v>7.6438421302900617</v>
      </c>
    </row>
    <row r="350" spans="3:28" x14ac:dyDescent="0.2">
      <c r="C350" s="61">
        <f t="shared" si="114"/>
        <v>75</v>
      </c>
      <c r="D350">
        <f t="shared" si="115"/>
        <v>8.8999999999999996E-2</v>
      </c>
      <c r="P350" s="60"/>
      <c r="Q350" s="62">
        <f t="shared" si="104"/>
        <v>75</v>
      </c>
      <c r="R350">
        <f t="shared" si="105"/>
        <v>4.7444444444444435E-2</v>
      </c>
      <c r="S350" s="60"/>
      <c r="Z350" s="60"/>
      <c r="AA350" s="62">
        <f t="shared" si="106"/>
        <v>75</v>
      </c>
      <c r="AB350">
        <f t="shared" si="107"/>
        <v>5.076081787922015</v>
      </c>
    </row>
    <row r="351" spans="3:28" x14ac:dyDescent="0.2">
      <c r="C351" s="61">
        <f t="shared" si="114"/>
        <v>76</v>
      </c>
      <c r="D351">
        <f t="shared" si="115"/>
        <v>0.44</v>
      </c>
      <c r="P351" s="60"/>
      <c r="Q351" s="62">
        <f t="shared" si="104"/>
        <v>76</v>
      </c>
      <c r="R351">
        <f t="shared" si="105"/>
        <v>0.39844444444444443</v>
      </c>
      <c r="S351" s="60"/>
      <c r="Z351" s="60"/>
      <c r="AA351" s="62">
        <f t="shared" si="106"/>
        <v>76</v>
      </c>
      <c r="AB351">
        <f t="shared" si="107"/>
        <v>42.629576795054675</v>
      </c>
    </row>
    <row r="352" spans="3:28" x14ac:dyDescent="0.2">
      <c r="C352" s="61">
        <f t="shared" ref="C352:C357" si="116">Y308</f>
        <v>77</v>
      </c>
      <c r="D352">
        <f t="shared" ref="D352:D357" si="117">K308</f>
        <v>0.22500000000000001</v>
      </c>
      <c r="P352" s="60"/>
      <c r="Q352" s="62">
        <f t="shared" si="104"/>
        <v>77</v>
      </c>
      <c r="R352">
        <f t="shared" si="105"/>
        <v>0.18344444444444444</v>
      </c>
      <c r="S352" s="60"/>
      <c r="Z352" s="60"/>
      <c r="AA352" s="62">
        <f t="shared" si="106"/>
        <v>77</v>
      </c>
      <c r="AB352">
        <f t="shared" si="107"/>
        <v>19.626723728007608</v>
      </c>
    </row>
    <row r="353" spans="2:28" x14ac:dyDescent="0.2">
      <c r="C353" s="61">
        <f t="shared" si="116"/>
        <v>78</v>
      </c>
      <c r="D353">
        <f t="shared" si="117"/>
        <v>0.23200000000000001</v>
      </c>
      <c r="P353" s="60"/>
      <c r="Q353" s="62">
        <f t="shared" si="104"/>
        <v>78</v>
      </c>
      <c r="R353">
        <f t="shared" si="105"/>
        <v>0.19044444444444444</v>
      </c>
      <c r="S353" s="60"/>
      <c r="Z353" s="60"/>
      <c r="AA353" s="62">
        <f t="shared" si="106"/>
        <v>78</v>
      </c>
      <c r="AB353">
        <f t="shared" si="107"/>
        <v>20.375653827864951</v>
      </c>
    </row>
    <row r="354" spans="2:28" x14ac:dyDescent="0.2">
      <c r="C354" s="61">
        <f t="shared" si="116"/>
        <v>79</v>
      </c>
      <c r="D354">
        <f t="shared" si="117"/>
        <v>0.53600000000000003</v>
      </c>
      <c r="P354" s="60"/>
      <c r="Q354" s="62">
        <f t="shared" si="104"/>
        <v>79</v>
      </c>
      <c r="R354">
        <f t="shared" si="105"/>
        <v>0.49444444444444446</v>
      </c>
      <c r="S354" s="60"/>
      <c r="Z354" s="60"/>
      <c r="AA354" s="62">
        <f t="shared" si="106"/>
        <v>79</v>
      </c>
      <c r="AB354">
        <f t="shared" si="107"/>
        <v>52.900618164526861</v>
      </c>
    </row>
    <row r="355" spans="2:28" x14ac:dyDescent="0.2">
      <c r="C355" s="61">
        <f t="shared" si="116"/>
        <v>80</v>
      </c>
      <c r="D355">
        <f t="shared" si="117"/>
        <v>0.57199999999999995</v>
      </c>
      <c r="P355" s="60"/>
      <c r="Q355" s="62">
        <f t="shared" si="104"/>
        <v>80</v>
      </c>
      <c r="R355">
        <f t="shared" si="105"/>
        <v>0.53044444444444439</v>
      </c>
      <c r="S355" s="60"/>
      <c r="Z355" s="60"/>
      <c r="AA355" s="62">
        <f t="shared" si="106"/>
        <v>80</v>
      </c>
      <c r="AB355">
        <f t="shared" si="107"/>
        <v>56.752258678078924</v>
      </c>
    </row>
    <row r="356" spans="2:28" x14ac:dyDescent="0.2">
      <c r="C356" s="61">
        <f t="shared" si="116"/>
        <v>81</v>
      </c>
      <c r="D356">
        <f t="shared" si="117"/>
        <v>0.61599999999999999</v>
      </c>
      <c r="P356" s="60"/>
      <c r="Q356" s="62">
        <f t="shared" si="104"/>
        <v>81</v>
      </c>
      <c r="R356">
        <f t="shared" si="105"/>
        <v>0.57444444444444442</v>
      </c>
      <c r="S356" s="60"/>
      <c r="Z356" s="60"/>
      <c r="AA356" s="62">
        <f t="shared" si="106"/>
        <v>81</v>
      </c>
      <c r="AB356">
        <f t="shared" si="107"/>
        <v>61.459819305753676</v>
      </c>
    </row>
    <row r="357" spans="2:28" x14ac:dyDescent="0.2">
      <c r="C357" s="61">
        <f t="shared" si="116"/>
        <v>82</v>
      </c>
      <c r="D357">
        <f t="shared" si="117"/>
        <v>0.57799999999999996</v>
      </c>
      <c r="P357" s="60"/>
      <c r="Q357" s="62">
        <f t="shared" si="104"/>
        <v>82</v>
      </c>
      <c r="R357">
        <f t="shared" si="105"/>
        <v>0.53644444444444439</v>
      </c>
      <c r="S357" s="60"/>
      <c r="Z357" s="60"/>
      <c r="AA357" s="62">
        <f t="shared" si="106"/>
        <v>82</v>
      </c>
      <c r="AB357">
        <f t="shared" si="107"/>
        <v>57.394198763670936</v>
      </c>
    </row>
    <row r="358" spans="2:28" x14ac:dyDescent="0.2">
      <c r="C358" s="61">
        <f t="shared" ref="C358:C363" si="118">AA308</f>
        <v>83</v>
      </c>
      <c r="D358">
        <f t="shared" ref="D358:D363" si="119">M308</f>
        <v>5.0999999999999997E-2</v>
      </c>
      <c r="P358" s="60"/>
      <c r="Q358" s="62">
        <f t="shared" si="104"/>
        <v>83</v>
      </c>
      <c r="R358">
        <f t="shared" si="105"/>
        <v>9.4444444444444359E-3</v>
      </c>
      <c r="S358" s="60"/>
      <c r="Z358" s="60"/>
      <c r="AA358" s="62">
        <f t="shared" si="106"/>
        <v>83</v>
      </c>
      <c r="AB358">
        <f t="shared" si="107"/>
        <v>1.0104612458392761</v>
      </c>
    </row>
    <row r="359" spans="2:28" x14ac:dyDescent="0.2">
      <c r="C359" s="61">
        <f t="shared" si="118"/>
        <v>84</v>
      </c>
      <c r="D359">
        <f t="shared" si="119"/>
        <v>0.246</v>
      </c>
      <c r="P359" s="60"/>
      <c r="Q359" s="62">
        <f t="shared" si="104"/>
        <v>84</v>
      </c>
      <c r="R359">
        <f t="shared" si="105"/>
        <v>0.20444444444444443</v>
      </c>
      <c r="Z359" s="60"/>
      <c r="AA359" s="62">
        <f t="shared" si="106"/>
        <v>84</v>
      </c>
      <c r="AB359">
        <f t="shared" si="107"/>
        <v>21.873514027579645</v>
      </c>
    </row>
    <row r="360" spans="2:28" x14ac:dyDescent="0.2">
      <c r="C360" s="61">
        <f t="shared" si="118"/>
        <v>85</v>
      </c>
      <c r="D360">
        <f t="shared" si="119"/>
        <v>0.24399999999999999</v>
      </c>
      <c r="P360" s="60"/>
      <c r="Q360" s="62">
        <f t="shared" si="104"/>
        <v>85</v>
      </c>
      <c r="R360">
        <f t="shared" si="105"/>
        <v>0.20244444444444443</v>
      </c>
      <c r="S360" s="58"/>
      <c r="Z360" s="60"/>
      <c r="AA360" s="62">
        <f t="shared" si="106"/>
        <v>85</v>
      </c>
      <c r="AB360">
        <f t="shared" si="107"/>
        <v>21.659533999048975</v>
      </c>
    </row>
    <row r="361" spans="2:28" x14ac:dyDescent="0.2">
      <c r="C361" s="61">
        <f t="shared" si="118"/>
        <v>86</v>
      </c>
      <c r="D361">
        <f t="shared" si="119"/>
        <v>5.2999999999999999E-2</v>
      </c>
      <c r="P361" s="60"/>
      <c r="Q361" s="62">
        <f t="shared" si="104"/>
        <v>86</v>
      </c>
      <c r="R361">
        <f t="shared" si="105"/>
        <v>1.1444444444444438E-2</v>
      </c>
      <c r="Z361" s="60"/>
      <c r="AA361" s="62">
        <f t="shared" si="106"/>
        <v>86</v>
      </c>
      <c r="AB361">
        <f t="shared" si="107"/>
        <v>1.2244412743699469</v>
      </c>
    </row>
    <row r="362" spans="2:28" x14ac:dyDescent="0.2">
      <c r="C362" s="61">
        <f t="shared" si="118"/>
        <v>87</v>
      </c>
      <c r="D362">
        <f t="shared" si="119"/>
        <v>0.71</v>
      </c>
      <c r="P362" s="60"/>
      <c r="Q362" s="62">
        <f t="shared" si="104"/>
        <v>87</v>
      </c>
      <c r="R362">
        <f t="shared" si="105"/>
        <v>0.6684444444444444</v>
      </c>
      <c r="Z362" s="60"/>
      <c r="AA362" s="62">
        <f t="shared" si="106"/>
        <v>87</v>
      </c>
      <c r="AB362">
        <f t="shared" si="107"/>
        <v>71.516880646695185</v>
      </c>
    </row>
    <row r="363" spans="2:28" x14ac:dyDescent="0.2">
      <c r="C363" s="61">
        <f t="shared" si="118"/>
        <v>88</v>
      </c>
      <c r="D363">
        <f t="shared" si="119"/>
        <v>0.78200000000000003</v>
      </c>
      <c r="P363" s="60"/>
      <c r="Q363" s="62">
        <f t="shared" si="104"/>
        <v>88</v>
      </c>
      <c r="R363">
        <f t="shared" si="105"/>
        <v>0.74044444444444446</v>
      </c>
      <c r="Z363" s="60"/>
      <c r="AA363" s="62">
        <f t="shared" si="106"/>
        <v>88</v>
      </c>
      <c r="AB363">
        <f>R363*100/$AF$318</f>
        <v>79.220161673799339</v>
      </c>
    </row>
    <row r="365" spans="2:28" x14ac:dyDescent="0.2">
      <c r="B365" s="7" t="s">
        <v>86</v>
      </c>
      <c r="C365" s="40">
        <v>45378</v>
      </c>
      <c r="D365" s="7" t="s">
        <v>69</v>
      </c>
      <c r="E365" s="41"/>
    </row>
    <row r="366" spans="2:28" x14ac:dyDescent="0.2">
      <c r="B366" s="42"/>
      <c r="C366" s="42">
        <v>1</v>
      </c>
      <c r="D366" s="42">
        <v>2</v>
      </c>
      <c r="E366" s="42">
        <v>3</v>
      </c>
      <c r="F366" s="42">
        <v>4</v>
      </c>
      <c r="G366" s="42">
        <v>5</v>
      </c>
      <c r="H366" s="42">
        <v>6</v>
      </c>
      <c r="I366" s="42">
        <v>7</v>
      </c>
      <c r="J366" s="42">
        <v>8</v>
      </c>
      <c r="K366" s="42">
        <v>9</v>
      </c>
      <c r="L366" s="42">
        <v>10</v>
      </c>
      <c r="M366" s="42">
        <v>11</v>
      </c>
      <c r="N366" s="42">
        <v>12</v>
      </c>
      <c r="Q366" s="1">
        <v>1</v>
      </c>
      <c r="R366" s="1">
        <v>2</v>
      </c>
      <c r="S366" s="1">
        <v>3</v>
      </c>
      <c r="T366" s="1">
        <v>4</v>
      </c>
      <c r="U366" s="1">
        <v>5</v>
      </c>
      <c r="V366" s="1">
        <v>6</v>
      </c>
      <c r="W366" s="1">
        <v>7</v>
      </c>
      <c r="X366" s="1">
        <v>8</v>
      </c>
      <c r="Y366" s="1">
        <v>9</v>
      </c>
      <c r="Z366" s="1">
        <v>10</v>
      </c>
      <c r="AA366" s="1">
        <v>11</v>
      </c>
      <c r="AB366" s="1">
        <v>12</v>
      </c>
    </row>
    <row r="367" spans="2:28" x14ac:dyDescent="0.2">
      <c r="B367" s="43" t="s">
        <v>0</v>
      </c>
      <c r="C367" s="44">
        <v>4.2999999999999997E-2</v>
      </c>
      <c r="D367" s="44">
        <v>4.2999999999999997E-2</v>
      </c>
      <c r="E367" s="44">
        <v>4.3999999999999997E-2</v>
      </c>
      <c r="F367" s="44">
        <v>4.2000000000000003E-2</v>
      </c>
      <c r="G367" s="44">
        <v>4.2000000000000003E-2</v>
      </c>
      <c r="H367" s="44">
        <v>4.2999999999999997E-2</v>
      </c>
      <c r="I367" s="44">
        <v>4.2000000000000003E-2</v>
      </c>
      <c r="J367" s="44">
        <v>4.1000000000000002E-2</v>
      </c>
      <c r="K367" s="44">
        <v>4.1000000000000002E-2</v>
      </c>
      <c r="L367" s="44">
        <v>4.2999999999999997E-2</v>
      </c>
      <c r="M367" s="44">
        <v>0.04</v>
      </c>
      <c r="N367" s="44">
        <v>4.1000000000000002E-2</v>
      </c>
      <c r="O367" s="18">
        <v>570</v>
      </c>
      <c r="P367" s="1" t="s">
        <v>0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2:28" x14ac:dyDescent="0.2">
      <c r="B368" s="43" t="s">
        <v>1</v>
      </c>
      <c r="C368" s="44">
        <v>4.3999999999999997E-2</v>
      </c>
      <c r="D368" s="45">
        <v>1.546</v>
      </c>
      <c r="E368" s="52">
        <v>0.64700000000000002</v>
      </c>
      <c r="F368" s="44">
        <v>7.4999999999999997E-2</v>
      </c>
      <c r="G368" s="52">
        <v>0.67500000000000004</v>
      </c>
      <c r="H368" s="49">
        <v>1.409</v>
      </c>
      <c r="I368" s="50">
        <v>0.50600000000000001</v>
      </c>
      <c r="J368" s="44">
        <v>5.1999999999999998E-2</v>
      </c>
      <c r="K368" s="51">
        <v>0.58699999999999997</v>
      </c>
      <c r="L368" s="67">
        <v>1.36</v>
      </c>
      <c r="M368" s="47">
        <v>0.17499999999999999</v>
      </c>
      <c r="N368" s="44">
        <v>4.1000000000000002E-2</v>
      </c>
      <c r="O368" s="18">
        <v>570</v>
      </c>
      <c r="P368" s="1" t="s">
        <v>1</v>
      </c>
      <c r="Q368" s="2"/>
      <c r="R368" s="3" t="s">
        <v>2</v>
      </c>
      <c r="S368" s="4">
        <v>47</v>
      </c>
      <c r="T368" s="4">
        <v>53</v>
      </c>
      <c r="U368" s="4">
        <v>59</v>
      </c>
      <c r="V368" s="3" t="s">
        <v>2</v>
      </c>
      <c r="W368" s="4">
        <v>65</v>
      </c>
      <c r="X368" s="4">
        <v>71</v>
      </c>
      <c r="Y368" s="4">
        <v>77</v>
      </c>
      <c r="Z368" s="3" t="s">
        <v>2</v>
      </c>
      <c r="AA368" s="4">
        <v>83</v>
      </c>
      <c r="AB368" s="5"/>
    </row>
    <row r="369" spans="2:38" x14ac:dyDescent="0.2">
      <c r="B369" s="43" t="s">
        <v>3</v>
      </c>
      <c r="C369" s="44">
        <v>4.1000000000000002E-2</v>
      </c>
      <c r="D369" s="47">
        <v>0.27800000000000002</v>
      </c>
      <c r="E369" s="53">
        <v>0.81200000000000006</v>
      </c>
      <c r="F369" s="47">
        <v>0.26800000000000002</v>
      </c>
      <c r="G369" s="53">
        <v>0.872</v>
      </c>
      <c r="H369" s="47">
        <v>0.23899999999999999</v>
      </c>
      <c r="I369" s="51">
        <v>0.57099999999999995</v>
      </c>
      <c r="J369" s="44">
        <v>0.10100000000000001</v>
      </c>
      <c r="K369" s="50">
        <v>0.45800000000000002</v>
      </c>
      <c r="L369" s="44">
        <v>0.104</v>
      </c>
      <c r="M369" s="50">
        <v>0.51900000000000002</v>
      </c>
      <c r="N369" s="44">
        <v>4.2000000000000003E-2</v>
      </c>
      <c r="O369" s="18">
        <v>570</v>
      </c>
      <c r="P369" s="1" t="s">
        <v>3</v>
      </c>
      <c r="Q369" s="2"/>
      <c r="R369" s="6" t="s">
        <v>4</v>
      </c>
      <c r="S369" s="4">
        <v>48</v>
      </c>
      <c r="T369" s="4">
        <v>54</v>
      </c>
      <c r="U369" s="4">
        <v>60</v>
      </c>
      <c r="V369" s="6" t="s">
        <v>4</v>
      </c>
      <c r="W369" s="4">
        <v>66</v>
      </c>
      <c r="X369" s="4">
        <v>72</v>
      </c>
      <c r="Y369" s="4">
        <v>78</v>
      </c>
      <c r="Z369" s="6" t="s">
        <v>4</v>
      </c>
      <c r="AA369" s="4">
        <v>84</v>
      </c>
      <c r="AB369" s="5"/>
    </row>
    <row r="370" spans="2:38" x14ac:dyDescent="0.2">
      <c r="B370" s="43" t="s">
        <v>5</v>
      </c>
      <c r="C370" s="44">
        <v>4.2000000000000003E-2</v>
      </c>
      <c r="D370" s="54">
        <v>1.7230000000000001</v>
      </c>
      <c r="E370" s="53">
        <v>0.76300000000000001</v>
      </c>
      <c r="F370" s="56">
        <v>1.091</v>
      </c>
      <c r="G370" s="52">
        <v>0.72099999999999997</v>
      </c>
      <c r="H370" s="45">
        <v>1.4970000000000001</v>
      </c>
      <c r="I370" s="55">
        <v>1.198</v>
      </c>
      <c r="J370" s="47">
        <v>0.19600000000000001</v>
      </c>
      <c r="K370" s="46">
        <v>0.91900000000000004</v>
      </c>
      <c r="L370" s="45">
        <v>1.5249999999999999</v>
      </c>
      <c r="M370" s="48">
        <v>0.36099999999999999</v>
      </c>
      <c r="N370" s="44">
        <v>4.2999999999999997E-2</v>
      </c>
      <c r="O370" s="18">
        <v>570</v>
      </c>
      <c r="P370" s="1" t="s">
        <v>5</v>
      </c>
      <c r="Q370" s="2"/>
      <c r="R370" s="3" t="s">
        <v>2</v>
      </c>
      <c r="S370" s="4">
        <v>49</v>
      </c>
      <c r="T370" s="4">
        <v>55</v>
      </c>
      <c r="U370" s="4">
        <v>61</v>
      </c>
      <c r="V370" s="3" t="s">
        <v>2</v>
      </c>
      <c r="W370" s="4">
        <v>67</v>
      </c>
      <c r="X370" s="4">
        <v>73</v>
      </c>
      <c r="Y370" s="4">
        <v>79</v>
      </c>
      <c r="Z370" s="3" t="s">
        <v>2</v>
      </c>
      <c r="AA370" s="4">
        <v>85</v>
      </c>
      <c r="AB370" s="5"/>
    </row>
    <row r="371" spans="2:38" x14ac:dyDescent="0.2">
      <c r="B371" s="43" t="s">
        <v>6</v>
      </c>
      <c r="C371" s="44">
        <v>4.1000000000000002E-2</v>
      </c>
      <c r="D371" s="47">
        <v>0.16200000000000001</v>
      </c>
      <c r="E371" s="53">
        <v>0.81499999999999995</v>
      </c>
      <c r="F371" s="55">
        <v>1.1599999999999999</v>
      </c>
      <c r="G371" s="52">
        <v>0.67</v>
      </c>
      <c r="H371" s="47">
        <v>0.17399999999999999</v>
      </c>
      <c r="I371" s="67">
        <v>1.27</v>
      </c>
      <c r="J371" s="47">
        <v>0.192</v>
      </c>
      <c r="K371" s="56">
        <v>1.0209999999999999</v>
      </c>
      <c r="L371" s="47">
        <v>0.249</v>
      </c>
      <c r="M371" s="48">
        <v>0.35</v>
      </c>
      <c r="N371" s="44">
        <v>4.1000000000000002E-2</v>
      </c>
      <c r="O371" s="18">
        <v>570</v>
      </c>
      <c r="P371" s="1" t="s">
        <v>6</v>
      </c>
      <c r="Q371" s="2"/>
      <c r="R371" s="6" t="s">
        <v>4</v>
      </c>
      <c r="S371" s="4">
        <v>50</v>
      </c>
      <c r="T371" s="4">
        <v>56</v>
      </c>
      <c r="U371" s="4">
        <v>62</v>
      </c>
      <c r="V371" s="6" t="s">
        <v>4</v>
      </c>
      <c r="W371" s="4">
        <v>68</v>
      </c>
      <c r="X371" s="4">
        <v>74</v>
      </c>
      <c r="Y371" s="4">
        <v>80</v>
      </c>
      <c r="Z371" s="6" t="s">
        <v>4</v>
      </c>
      <c r="AA371" s="4">
        <v>86</v>
      </c>
      <c r="AB371" s="5"/>
    </row>
    <row r="372" spans="2:38" x14ac:dyDescent="0.2">
      <c r="B372" s="43" t="s">
        <v>7</v>
      </c>
      <c r="C372" s="44">
        <v>4.8000000000000001E-2</v>
      </c>
      <c r="D372" s="45">
        <v>1.5549999999999999</v>
      </c>
      <c r="E372" s="47">
        <v>0.217</v>
      </c>
      <c r="F372" s="56">
        <v>1.103</v>
      </c>
      <c r="G372" s="52">
        <v>0.67</v>
      </c>
      <c r="H372" s="54">
        <v>1.63</v>
      </c>
      <c r="I372" s="67">
        <v>1.3360000000000001</v>
      </c>
      <c r="J372" s="50">
        <v>0.41199999999999998</v>
      </c>
      <c r="K372" s="56">
        <v>1.095</v>
      </c>
      <c r="L372" s="54">
        <v>1.716</v>
      </c>
      <c r="M372" s="67">
        <v>1.264</v>
      </c>
      <c r="N372" s="44">
        <v>4.3999999999999997E-2</v>
      </c>
      <c r="O372" s="18">
        <v>570</v>
      </c>
      <c r="P372" s="1" t="s">
        <v>7</v>
      </c>
      <c r="Q372" s="2"/>
      <c r="R372" s="3" t="s">
        <v>2</v>
      </c>
      <c r="S372" s="4">
        <v>51</v>
      </c>
      <c r="T372" s="4">
        <v>57</v>
      </c>
      <c r="U372" s="4">
        <v>63</v>
      </c>
      <c r="V372" s="3" t="s">
        <v>2</v>
      </c>
      <c r="W372" s="4">
        <v>69</v>
      </c>
      <c r="X372" s="4">
        <v>75</v>
      </c>
      <c r="Y372" s="4">
        <v>81</v>
      </c>
      <c r="Z372" s="3" t="s">
        <v>2</v>
      </c>
      <c r="AA372" s="4">
        <v>87</v>
      </c>
      <c r="AB372" s="5"/>
    </row>
    <row r="373" spans="2:38" x14ac:dyDescent="0.2">
      <c r="B373" s="43" t="s">
        <v>8</v>
      </c>
      <c r="C373" s="44">
        <v>4.2000000000000003E-2</v>
      </c>
      <c r="D373" s="44">
        <v>0.13500000000000001</v>
      </c>
      <c r="E373" s="44">
        <v>6.7000000000000004E-2</v>
      </c>
      <c r="F373" s="67">
        <v>1.355</v>
      </c>
      <c r="G373" s="47">
        <v>0.19800000000000001</v>
      </c>
      <c r="H373" s="48">
        <v>0.29899999999999999</v>
      </c>
      <c r="I373" s="55">
        <v>1.1559999999999999</v>
      </c>
      <c r="J373" s="53">
        <v>0.86099999999999999</v>
      </c>
      <c r="K373" s="56">
        <v>1.018</v>
      </c>
      <c r="L373" s="47">
        <v>0.23799999999999999</v>
      </c>
      <c r="M373" s="67">
        <v>1.258</v>
      </c>
      <c r="N373" s="44">
        <v>4.2000000000000003E-2</v>
      </c>
      <c r="O373" s="18">
        <v>570</v>
      </c>
      <c r="P373" s="1" t="s">
        <v>8</v>
      </c>
      <c r="Q373" s="2"/>
      <c r="R373" s="6" t="s">
        <v>4</v>
      </c>
      <c r="S373" s="4">
        <v>52</v>
      </c>
      <c r="T373" s="4">
        <v>58</v>
      </c>
      <c r="U373" s="4">
        <v>64</v>
      </c>
      <c r="V373" s="6" t="s">
        <v>4</v>
      </c>
      <c r="W373" s="4">
        <v>70</v>
      </c>
      <c r="X373" s="4">
        <v>76</v>
      </c>
      <c r="Y373" s="4">
        <v>82</v>
      </c>
      <c r="Z373" s="6" t="s">
        <v>4</v>
      </c>
      <c r="AA373" s="4">
        <v>88</v>
      </c>
      <c r="AB373" s="5"/>
    </row>
    <row r="374" spans="2:38" x14ac:dyDescent="0.2">
      <c r="B374" s="43" t="s">
        <v>9</v>
      </c>
      <c r="C374" s="44">
        <v>4.2000000000000003E-2</v>
      </c>
      <c r="D374" s="44">
        <v>4.1000000000000002E-2</v>
      </c>
      <c r="E374" s="44">
        <v>4.2000000000000003E-2</v>
      </c>
      <c r="F374" s="44">
        <v>4.8000000000000001E-2</v>
      </c>
      <c r="G374" s="44">
        <v>4.3999999999999997E-2</v>
      </c>
      <c r="H374" s="44">
        <v>4.9000000000000002E-2</v>
      </c>
      <c r="I374" s="44">
        <v>4.4999999999999998E-2</v>
      </c>
      <c r="J374" s="44">
        <v>4.1000000000000002E-2</v>
      </c>
      <c r="K374" s="44">
        <v>4.1000000000000002E-2</v>
      </c>
      <c r="L374" s="44">
        <v>4.1000000000000002E-2</v>
      </c>
      <c r="M374" s="44">
        <v>4.1000000000000002E-2</v>
      </c>
      <c r="N374" s="44">
        <v>0.04</v>
      </c>
      <c r="O374" s="18">
        <v>570</v>
      </c>
      <c r="P374" s="1" t="s">
        <v>9</v>
      </c>
      <c r="Q374" s="2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6" spans="2:38" x14ac:dyDescent="0.2">
      <c r="B376" s="57" t="s">
        <v>42</v>
      </c>
      <c r="P376" s="57" t="s">
        <v>43</v>
      </c>
    </row>
    <row r="377" spans="2:38" x14ac:dyDescent="0.2">
      <c r="C377" s="58" t="s">
        <v>44</v>
      </c>
      <c r="D377">
        <f>AVERAGE(D374:N374,N367:N373,D367:M367,C367:C374)</f>
        <v>4.2527777777777782E-2</v>
      </c>
      <c r="AE377" t="s">
        <v>45</v>
      </c>
      <c r="AH377" t="s">
        <v>46</v>
      </c>
    </row>
    <row r="378" spans="2:38" x14ac:dyDescent="0.2">
      <c r="C378" s="58" t="s">
        <v>47</v>
      </c>
      <c r="D378">
        <f>D368</f>
        <v>1.546</v>
      </c>
      <c r="E378">
        <f>D370</f>
        <v>1.7230000000000001</v>
      </c>
      <c r="F378">
        <f>D372</f>
        <v>1.5549999999999999</v>
      </c>
      <c r="G378">
        <f>H368</f>
        <v>1.409</v>
      </c>
      <c r="H378">
        <f>H370</f>
        <v>1.4970000000000001</v>
      </c>
      <c r="I378">
        <f>H372</f>
        <v>1.63</v>
      </c>
      <c r="J378">
        <f>L368</f>
        <v>1.36</v>
      </c>
      <c r="K378">
        <f>L370</f>
        <v>1.5249999999999999</v>
      </c>
      <c r="L378">
        <f>L372</f>
        <v>1.716</v>
      </c>
      <c r="Q378" s="58" t="s">
        <v>47</v>
      </c>
      <c r="R378">
        <f>D378-$D$377</f>
        <v>1.5034722222222223</v>
      </c>
      <c r="S378">
        <f t="shared" ref="S378:Y378" si="120">E378-$D$377</f>
        <v>1.6804722222222224</v>
      </c>
      <c r="T378">
        <f t="shared" si="120"/>
        <v>1.5124722222222222</v>
      </c>
      <c r="U378">
        <f t="shared" si="120"/>
        <v>1.3664722222222223</v>
      </c>
      <c r="V378">
        <f t="shared" si="120"/>
        <v>1.4544722222222224</v>
      </c>
      <c r="W378">
        <f t="shared" si="120"/>
        <v>1.5874722222222222</v>
      </c>
      <c r="X378">
        <f t="shared" si="120"/>
        <v>1.3174722222222224</v>
      </c>
      <c r="Y378">
        <f t="shared" si="120"/>
        <v>1.4824722222222222</v>
      </c>
      <c r="Z378">
        <f>L378-$D$377</f>
        <v>1.6734722222222222</v>
      </c>
      <c r="AE378" t="s">
        <v>48</v>
      </c>
      <c r="AF378">
        <f>AVERAGE(R378:Z378)</f>
        <v>1.5086944444444446</v>
      </c>
      <c r="AH378" t="s">
        <v>48</v>
      </c>
      <c r="AI378">
        <f>AVERAGE(R380:Z380)</f>
        <v>0.16613888888888889</v>
      </c>
      <c r="AK378" s="59" t="s">
        <v>49</v>
      </c>
      <c r="AL378" s="59">
        <f>1- ((3*(AF379+AI379))/(AF378-AI378))</f>
        <v>0.57237614910478096</v>
      </c>
    </row>
    <row r="379" spans="2:38" x14ac:dyDescent="0.2">
      <c r="C379" s="58"/>
      <c r="G379" s="60"/>
      <c r="Q379" s="58"/>
      <c r="AE379" t="s">
        <v>50</v>
      </c>
      <c r="AF379">
        <f>STDEV(R378:Z378)</f>
        <v>0.12416096183762607</v>
      </c>
      <c r="AH379" t="s">
        <v>50</v>
      </c>
      <c r="AI379">
        <f>STDEV(R380:Z380)</f>
        <v>6.7208630398186212E-2</v>
      </c>
      <c r="AK379" s="59"/>
      <c r="AL379" s="59"/>
    </row>
    <row r="380" spans="2:38" x14ac:dyDescent="0.2">
      <c r="C380" s="58" t="s">
        <v>4</v>
      </c>
      <c r="D380">
        <f>D369</f>
        <v>0.27800000000000002</v>
      </c>
      <c r="E380">
        <f>D371</f>
        <v>0.16200000000000001</v>
      </c>
      <c r="F380">
        <f>D373</f>
        <v>0.13500000000000001</v>
      </c>
      <c r="G380">
        <f>H369</f>
        <v>0.23899999999999999</v>
      </c>
      <c r="H380">
        <f>H371</f>
        <v>0.17399999999999999</v>
      </c>
      <c r="I380">
        <f>H373</f>
        <v>0.29899999999999999</v>
      </c>
      <c r="J380">
        <f>L369</f>
        <v>0.104</v>
      </c>
      <c r="K380">
        <f>L371</f>
        <v>0.249</v>
      </c>
      <c r="L380">
        <f>L373</f>
        <v>0.23799999999999999</v>
      </c>
      <c r="Q380" s="58" t="s">
        <v>4</v>
      </c>
      <c r="R380">
        <f>D380-$D$377</f>
        <v>0.23547222222222225</v>
      </c>
      <c r="S380">
        <f t="shared" ref="S380:Y380" si="121">E380-$D$377</f>
        <v>0.11947222222222223</v>
      </c>
      <c r="T380">
        <f t="shared" si="121"/>
        <v>9.2472222222222233E-2</v>
      </c>
      <c r="U380">
        <f t="shared" si="121"/>
        <v>0.19647222222222221</v>
      </c>
      <c r="V380">
        <f t="shared" si="121"/>
        <v>0.13147222222222221</v>
      </c>
      <c r="W380">
        <f t="shared" si="121"/>
        <v>0.25647222222222221</v>
      </c>
      <c r="X380">
        <f t="shared" si="121"/>
        <v>6.1472222222222213E-2</v>
      </c>
      <c r="Y380">
        <f t="shared" si="121"/>
        <v>0.20647222222222222</v>
      </c>
      <c r="Z380">
        <f>L380-$D$377</f>
        <v>0.19547222222222221</v>
      </c>
      <c r="AB380" s="58" t="s">
        <v>51</v>
      </c>
      <c r="AC380" s="58" t="s">
        <v>52</v>
      </c>
      <c r="AD380" s="58"/>
      <c r="AE380" t="s">
        <v>53</v>
      </c>
      <c r="AF380">
        <f>AF379*100/AF378</f>
        <v>8.2296957011296339</v>
      </c>
    </row>
    <row r="381" spans="2:38" x14ac:dyDescent="0.2">
      <c r="C381" s="58"/>
      <c r="D381" s="60"/>
      <c r="Q381" s="58"/>
      <c r="AB381" s="58"/>
      <c r="AC381" s="58"/>
      <c r="AD381" s="58"/>
      <c r="AE381" t="s">
        <v>54</v>
      </c>
      <c r="AF381">
        <f>3*AF379</f>
        <v>0.37248288551287823</v>
      </c>
    </row>
    <row r="382" spans="2:38" x14ac:dyDescent="0.2">
      <c r="C382" s="61">
        <f t="shared" ref="C382:C387" si="122">S368</f>
        <v>47</v>
      </c>
      <c r="D382">
        <f t="shared" ref="D382:D387" si="123">E368</f>
        <v>0.64700000000000002</v>
      </c>
      <c r="P382" s="60"/>
      <c r="Q382" s="62">
        <f>C382</f>
        <v>47</v>
      </c>
      <c r="R382">
        <f>D382-$D$377</f>
        <v>0.60447222222222219</v>
      </c>
      <c r="S382" s="60"/>
      <c r="Z382" s="60"/>
      <c r="AA382" s="62">
        <f>C382</f>
        <v>47</v>
      </c>
      <c r="AB382">
        <f>R382*100/$AF$378</f>
        <v>40.0659142378436</v>
      </c>
    </row>
    <row r="383" spans="2:38" x14ac:dyDescent="0.2">
      <c r="C383" s="61">
        <f t="shared" si="122"/>
        <v>48</v>
      </c>
      <c r="D383">
        <f t="shared" si="123"/>
        <v>0.81200000000000006</v>
      </c>
      <c r="P383" s="60"/>
      <c r="Q383" s="62">
        <f t="shared" ref="Q383:Q423" si="124">C383</f>
        <v>48</v>
      </c>
      <c r="R383">
        <f t="shared" ref="R383:R423" si="125">D383-$D$377</f>
        <v>0.76947222222222222</v>
      </c>
      <c r="S383" s="60"/>
      <c r="Z383" s="60"/>
      <c r="AA383" s="62">
        <f t="shared" ref="AA383:AA423" si="126">C383</f>
        <v>48</v>
      </c>
      <c r="AB383">
        <f>R383*100/$AF$378</f>
        <v>51.0025224163644</v>
      </c>
    </row>
    <row r="384" spans="2:38" x14ac:dyDescent="0.2">
      <c r="C384" s="61">
        <f t="shared" si="122"/>
        <v>49</v>
      </c>
      <c r="D384">
        <f t="shared" si="123"/>
        <v>0.76300000000000001</v>
      </c>
      <c r="P384" s="60"/>
      <c r="Q384" s="62">
        <f t="shared" si="124"/>
        <v>49</v>
      </c>
      <c r="R384">
        <f t="shared" si="125"/>
        <v>0.72047222222222218</v>
      </c>
      <c r="S384" s="60"/>
      <c r="Z384" s="60"/>
      <c r="AA384" s="62">
        <f t="shared" si="126"/>
        <v>49</v>
      </c>
      <c r="AB384">
        <f t="shared" ref="AB384:AB422" si="127">R384*100/$AF$378</f>
        <v>47.75468119971277</v>
      </c>
    </row>
    <row r="385" spans="3:28" x14ac:dyDescent="0.2">
      <c r="C385" s="61">
        <f t="shared" si="122"/>
        <v>50</v>
      </c>
      <c r="D385">
        <f t="shared" si="123"/>
        <v>0.81499999999999995</v>
      </c>
      <c r="P385" s="60"/>
      <c r="Q385" s="62">
        <f>C385</f>
        <v>50</v>
      </c>
      <c r="R385">
        <f>D385-$D$377</f>
        <v>0.77247222222222212</v>
      </c>
      <c r="S385" s="60"/>
      <c r="Z385" s="60"/>
      <c r="AA385" s="62">
        <f t="shared" si="126"/>
        <v>50</v>
      </c>
      <c r="AB385">
        <f t="shared" si="127"/>
        <v>51.201369837792043</v>
      </c>
    </row>
    <row r="386" spans="3:28" x14ac:dyDescent="0.2">
      <c r="C386" s="61">
        <f t="shared" si="122"/>
        <v>51</v>
      </c>
      <c r="D386">
        <f t="shared" si="123"/>
        <v>0.217</v>
      </c>
      <c r="P386" s="60"/>
      <c r="Q386" s="62">
        <f t="shared" si="124"/>
        <v>51</v>
      </c>
      <c r="R386">
        <f>D386-$D$377</f>
        <v>0.17447222222222222</v>
      </c>
      <c r="S386" s="60"/>
      <c r="Z386" s="60"/>
      <c r="AA386" s="62">
        <f t="shared" si="126"/>
        <v>51</v>
      </c>
      <c r="AB386">
        <f t="shared" si="127"/>
        <v>11.564450499880323</v>
      </c>
    </row>
    <row r="387" spans="3:28" x14ac:dyDescent="0.2">
      <c r="C387" s="61">
        <f t="shared" si="122"/>
        <v>52</v>
      </c>
      <c r="D387">
        <f t="shared" si="123"/>
        <v>6.7000000000000004E-2</v>
      </c>
      <c r="P387" s="60"/>
      <c r="Q387" s="62">
        <f t="shared" si="124"/>
        <v>52</v>
      </c>
      <c r="R387">
        <f t="shared" si="125"/>
        <v>2.4472222222222222E-2</v>
      </c>
      <c r="S387" s="60"/>
      <c r="Z387" s="60"/>
      <c r="AA387" s="62">
        <f t="shared" si="126"/>
        <v>52</v>
      </c>
      <c r="AB387">
        <f t="shared" si="127"/>
        <v>1.6220794284977811</v>
      </c>
    </row>
    <row r="388" spans="3:28" x14ac:dyDescent="0.2">
      <c r="C388" s="61">
        <f t="shared" ref="C388:C393" si="128">T368</f>
        <v>53</v>
      </c>
      <c r="D388">
        <f t="shared" ref="D388:D393" si="129">F368</f>
        <v>7.4999999999999997E-2</v>
      </c>
      <c r="P388" s="60"/>
      <c r="Q388" s="62">
        <f t="shared" si="124"/>
        <v>53</v>
      </c>
      <c r="R388">
        <f>D388-$D$377</f>
        <v>3.2472222222222215E-2</v>
      </c>
      <c r="S388" s="60"/>
      <c r="Z388" s="60"/>
      <c r="AA388" s="62">
        <f t="shared" si="126"/>
        <v>53</v>
      </c>
      <c r="AB388">
        <f t="shared" si="127"/>
        <v>2.152339218971516</v>
      </c>
    </row>
    <row r="389" spans="3:28" x14ac:dyDescent="0.2">
      <c r="C389" s="61">
        <f t="shared" si="128"/>
        <v>54</v>
      </c>
      <c r="D389">
        <f t="shared" si="129"/>
        <v>0.26800000000000002</v>
      </c>
      <c r="P389" s="60"/>
      <c r="Q389" s="62">
        <f t="shared" si="124"/>
        <v>54</v>
      </c>
      <c r="R389">
        <f>D389-$D$377</f>
        <v>0.22547222222222224</v>
      </c>
      <c r="S389" s="60"/>
      <c r="Z389" s="60"/>
      <c r="AA389" s="62">
        <f t="shared" si="126"/>
        <v>54</v>
      </c>
      <c r="AB389">
        <f>R389*100/$AF$378</f>
        <v>14.944856664150388</v>
      </c>
    </row>
    <row r="390" spans="3:28" x14ac:dyDescent="0.2">
      <c r="C390" s="61">
        <f t="shared" si="128"/>
        <v>55</v>
      </c>
      <c r="D390">
        <f t="shared" si="129"/>
        <v>1.091</v>
      </c>
      <c r="P390" s="60"/>
      <c r="Q390" s="62">
        <f t="shared" si="124"/>
        <v>55</v>
      </c>
      <c r="R390">
        <f t="shared" si="125"/>
        <v>1.0484722222222222</v>
      </c>
      <c r="S390" s="60"/>
      <c r="Z390" s="60"/>
      <c r="AA390" s="62">
        <f t="shared" si="126"/>
        <v>55</v>
      </c>
      <c r="AB390">
        <f t="shared" si="127"/>
        <v>69.495332609135929</v>
      </c>
    </row>
    <row r="391" spans="3:28" x14ac:dyDescent="0.2">
      <c r="C391" s="61">
        <f t="shared" si="128"/>
        <v>56</v>
      </c>
      <c r="D391">
        <f t="shared" si="129"/>
        <v>1.1599999999999999</v>
      </c>
      <c r="P391" s="60"/>
      <c r="Q391" s="62">
        <f t="shared" si="124"/>
        <v>56</v>
      </c>
      <c r="R391">
        <f t="shared" si="125"/>
        <v>1.1174722222222222</v>
      </c>
      <c r="S391" s="60"/>
      <c r="Z391" s="60"/>
      <c r="AA391" s="62">
        <f t="shared" si="126"/>
        <v>56</v>
      </c>
      <c r="AB391">
        <f t="shared" si="127"/>
        <v>74.068823301971889</v>
      </c>
    </row>
    <row r="392" spans="3:28" x14ac:dyDescent="0.2">
      <c r="C392" s="61">
        <f t="shared" si="128"/>
        <v>57</v>
      </c>
      <c r="D392">
        <f t="shared" si="129"/>
        <v>1.103</v>
      </c>
      <c r="P392" s="60"/>
      <c r="Q392" s="62">
        <f t="shared" si="124"/>
        <v>57</v>
      </c>
      <c r="R392">
        <f t="shared" si="125"/>
        <v>1.0604722222222223</v>
      </c>
      <c r="S392" s="60"/>
      <c r="Z392" s="60"/>
      <c r="AA392" s="62">
        <f t="shared" si="126"/>
        <v>57</v>
      </c>
      <c r="AB392">
        <f t="shared" si="127"/>
        <v>70.290722294846532</v>
      </c>
    </row>
    <row r="393" spans="3:28" x14ac:dyDescent="0.2">
      <c r="C393" s="61">
        <f t="shared" si="128"/>
        <v>58</v>
      </c>
      <c r="D393">
        <f t="shared" si="129"/>
        <v>1.355</v>
      </c>
      <c r="P393" s="60"/>
      <c r="Q393" s="62">
        <f t="shared" si="124"/>
        <v>58</v>
      </c>
      <c r="R393">
        <f t="shared" si="125"/>
        <v>1.3124722222222223</v>
      </c>
      <c r="S393" s="60"/>
      <c r="Z393" s="60"/>
      <c r="AA393" s="62">
        <f t="shared" si="126"/>
        <v>58</v>
      </c>
      <c r="AB393">
        <f t="shared" si="127"/>
        <v>86.993905694769211</v>
      </c>
    </row>
    <row r="394" spans="3:28" x14ac:dyDescent="0.2">
      <c r="C394" s="61">
        <f t="shared" ref="C394:C399" si="130">U368</f>
        <v>59</v>
      </c>
      <c r="D394">
        <f t="shared" ref="D394:D399" si="131">G368</f>
        <v>0.67500000000000004</v>
      </c>
      <c r="P394" s="60"/>
      <c r="Q394" s="62">
        <f t="shared" si="124"/>
        <v>59</v>
      </c>
      <c r="R394">
        <f t="shared" si="125"/>
        <v>0.63247222222222221</v>
      </c>
      <c r="S394" s="60"/>
      <c r="Z394" s="60"/>
      <c r="AA394" s="62">
        <f t="shared" si="126"/>
        <v>59</v>
      </c>
      <c r="AB394">
        <f t="shared" si="127"/>
        <v>41.921823504501681</v>
      </c>
    </row>
    <row r="395" spans="3:28" x14ac:dyDescent="0.2">
      <c r="C395" s="61">
        <f t="shared" si="130"/>
        <v>60</v>
      </c>
      <c r="D395">
        <f t="shared" si="131"/>
        <v>0.872</v>
      </c>
      <c r="P395" s="60"/>
      <c r="Q395" s="62">
        <f t="shared" si="124"/>
        <v>60</v>
      </c>
      <c r="R395">
        <f t="shared" si="125"/>
        <v>0.82947222222222217</v>
      </c>
      <c r="S395" s="60"/>
      <c r="Z395" s="60"/>
      <c r="AA395" s="62">
        <f t="shared" si="126"/>
        <v>60</v>
      </c>
      <c r="AB395">
        <f t="shared" si="127"/>
        <v>54.979470844917422</v>
      </c>
    </row>
    <row r="396" spans="3:28" x14ac:dyDescent="0.2">
      <c r="C396" s="61">
        <f t="shared" si="130"/>
        <v>61</v>
      </c>
      <c r="D396">
        <f t="shared" si="131"/>
        <v>0.72099999999999997</v>
      </c>
      <c r="P396" s="60"/>
      <c r="Q396" s="62">
        <f t="shared" si="124"/>
        <v>61</v>
      </c>
      <c r="R396">
        <f t="shared" si="125"/>
        <v>0.67847222222222214</v>
      </c>
      <c r="S396" s="60"/>
      <c r="Z396" s="60"/>
      <c r="AA396" s="62">
        <f t="shared" si="126"/>
        <v>61</v>
      </c>
      <c r="AB396">
        <f t="shared" si="127"/>
        <v>44.970817299725653</v>
      </c>
    </row>
    <row r="397" spans="3:28" x14ac:dyDescent="0.2">
      <c r="C397" s="61">
        <f t="shared" si="130"/>
        <v>62</v>
      </c>
      <c r="D397">
        <f t="shared" si="131"/>
        <v>0.67</v>
      </c>
      <c r="P397" s="60"/>
      <c r="Q397" s="62">
        <f t="shared" si="124"/>
        <v>62</v>
      </c>
      <c r="R397">
        <f t="shared" si="125"/>
        <v>0.62747222222222221</v>
      </c>
      <c r="S397" s="60"/>
      <c r="Z397" s="60"/>
      <c r="AA397" s="62">
        <f t="shared" si="126"/>
        <v>62</v>
      </c>
      <c r="AB397">
        <f t="shared" si="127"/>
        <v>41.590411135455597</v>
      </c>
    </row>
    <row r="398" spans="3:28" x14ac:dyDescent="0.2">
      <c r="C398" s="61">
        <f t="shared" si="130"/>
        <v>63</v>
      </c>
      <c r="D398">
        <f t="shared" si="131"/>
        <v>0.67</v>
      </c>
      <c r="P398" s="60"/>
      <c r="Q398" s="62">
        <f t="shared" si="124"/>
        <v>63</v>
      </c>
      <c r="R398">
        <f t="shared" si="125"/>
        <v>0.62747222222222221</v>
      </c>
      <c r="S398" s="60"/>
      <c r="Z398" s="60"/>
      <c r="AA398" s="62">
        <f t="shared" si="126"/>
        <v>63</v>
      </c>
      <c r="AB398">
        <f t="shared" si="127"/>
        <v>41.590411135455597</v>
      </c>
    </row>
    <row r="399" spans="3:28" x14ac:dyDescent="0.2">
      <c r="C399" s="61">
        <f t="shared" si="130"/>
        <v>64</v>
      </c>
      <c r="D399">
        <f t="shared" si="131"/>
        <v>0.19800000000000001</v>
      </c>
      <c r="P399" s="60"/>
      <c r="Q399" s="62">
        <f t="shared" si="124"/>
        <v>64</v>
      </c>
      <c r="R399">
        <f t="shared" si="125"/>
        <v>0.15547222222222223</v>
      </c>
      <c r="S399" s="60"/>
      <c r="Z399" s="60"/>
      <c r="AA399" s="62">
        <f t="shared" si="126"/>
        <v>64</v>
      </c>
      <c r="AB399">
        <f t="shared" si="127"/>
        <v>10.305083497505201</v>
      </c>
    </row>
    <row r="400" spans="3:28" x14ac:dyDescent="0.2">
      <c r="C400" s="61">
        <f t="shared" ref="C400:C405" si="132">W368</f>
        <v>65</v>
      </c>
      <c r="D400">
        <f t="shared" ref="D400:D405" si="133">I368</f>
        <v>0.50600000000000001</v>
      </c>
      <c r="P400" s="60"/>
      <c r="Q400" s="62">
        <f t="shared" si="124"/>
        <v>65</v>
      </c>
      <c r="R400">
        <f t="shared" si="125"/>
        <v>0.46347222222222223</v>
      </c>
      <c r="S400" s="60"/>
      <c r="Z400" s="60"/>
      <c r="AA400" s="62">
        <f t="shared" si="126"/>
        <v>65</v>
      </c>
      <c r="AB400">
        <f t="shared" si="127"/>
        <v>30.720085430744017</v>
      </c>
    </row>
    <row r="401" spans="3:28" x14ac:dyDescent="0.2">
      <c r="C401" s="61">
        <f t="shared" si="132"/>
        <v>66</v>
      </c>
      <c r="D401">
        <f t="shared" si="133"/>
        <v>0.57099999999999995</v>
      </c>
      <c r="P401" s="60"/>
      <c r="Q401" s="62">
        <f t="shared" si="124"/>
        <v>66</v>
      </c>
      <c r="R401">
        <f t="shared" si="125"/>
        <v>0.52847222222222212</v>
      </c>
      <c r="S401" s="60"/>
      <c r="Z401" s="60"/>
      <c r="AA401" s="62">
        <f t="shared" si="126"/>
        <v>66</v>
      </c>
      <c r="AB401">
        <f t="shared" si="127"/>
        <v>35.028446228343114</v>
      </c>
    </row>
    <row r="402" spans="3:28" x14ac:dyDescent="0.2">
      <c r="C402" s="61">
        <f t="shared" si="132"/>
        <v>67</v>
      </c>
      <c r="D402">
        <f t="shared" si="133"/>
        <v>1.198</v>
      </c>
      <c r="P402" s="60"/>
      <c r="Q402" s="62">
        <f t="shared" si="124"/>
        <v>67</v>
      </c>
      <c r="R402">
        <f>D402-$D$377</f>
        <v>1.1554722222222222</v>
      </c>
      <c r="S402" s="60"/>
      <c r="Z402" s="60"/>
      <c r="AA402" s="62">
        <f t="shared" si="126"/>
        <v>67</v>
      </c>
      <c r="AB402">
        <f t="shared" si="127"/>
        <v>76.587557306722132</v>
      </c>
    </row>
    <row r="403" spans="3:28" x14ac:dyDescent="0.2">
      <c r="C403" s="61">
        <f t="shared" si="132"/>
        <v>68</v>
      </c>
      <c r="D403">
        <f t="shared" si="133"/>
        <v>1.27</v>
      </c>
      <c r="P403" s="60"/>
      <c r="Q403" s="62">
        <f t="shared" si="124"/>
        <v>68</v>
      </c>
      <c r="R403">
        <f t="shared" si="125"/>
        <v>1.2274722222222223</v>
      </c>
      <c r="S403" s="60"/>
      <c r="Z403" s="60"/>
      <c r="AA403" s="62">
        <f t="shared" si="126"/>
        <v>68</v>
      </c>
      <c r="AB403">
        <f t="shared" si="127"/>
        <v>81.359895420985765</v>
      </c>
    </row>
    <row r="404" spans="3:28" x14ac:dyDescent="0.2">
      <c r="C404" s="61">
        <f t="shared" si="132"/>
        <v>69</v>
      </c>
      <c r="D404">
        <f t="shared" si="133"/>
        <v>1.3360000000000001</v>
      </c>
      <c r="P404" s="60"/>
      <c r="Q404" s="62">
        <f t="shared" si="124"/>
        <v>69</v>
      </c>
      <c r="R404">
        <f t="shared" si="125"/>
        <v>1.2934722222222224</v>
      </c>
      <c r="S404" s="60"/>
      <c r="Z404" s="60"/>
      <c r="AA404" s="62">
        <f t="shared" si="126"/>
        <v>69</v>
      </c>
      <c r="AB404">
        <f t="shared" si="127"/>
        <v>85.734538692394082</v>
      </c>
    </row>
    <row r="405" spans="3:28" x14ac:dyDescent="0.2">
      <c r="C405" s="61">
        <f t="shared" si="132"/>
        <v>70</v>
      </c>
      <c r="D405">
        <f t="shared" si="133"/>
        <v>1.1559999999999999</v>
      </c>
      <c r="P405" s="60"/>
      <c r="Q405" s="62">
        <f t="shared" si="124"/>
        <v>70</v>
      </c>
      <c r="R405">
        <f t="shared" si="125"/>
        <v>1.1134722222222222</v>
      </c>
      <c r="S405" s="60"/>
      <c r="Z405" s="60"/>
      <c r="AA405" s="62">
        <f t="shared" si="126"/>
        <v>70</v>
      </c>
      <c r="AB405">
        <f t="shared" si="127"/>
        <v>73.803693406735022</v>
      </c>
    </row>
    <row r="406" spans="3:28" x14ac:dyDescent="0.2">
      <c r="C406" s="61">
        <f t="shared" ref="C406:C411" si="134">X368</f>
        <v>71</v>
      </c>
      <c r="D406">
        <f t="shared" ref="D406:D411" si="135">J368</f>
        <v>5.1999999999999998E-2</v>
      </c>
      <c r="P406" s="60"/>
      <c r="Q406" s="62">
        <f t="shared" si="124"/>
        <v>71</v>
      </c>
      <c r="R406">
        <f t="shared" si="125"/>
        <v>9.4722222222222152E-3</v>
      </c>
      <c r="S406" s="60"/>
      <c r="Z406" s="60"/>
      <c r="AA406" s="62">
        <f t="shared" si="126"/>
        <v>71</v>
      </c>
      <c r="AB406">
        <f t="shared" si="127"/>
        <v>0.62784232135952667</v>
      </c>
    </row>
    <row r="407" spans="3:28" x14ac:dyDescent="0.2">
      <c r="C407" s="61">
        <f t="shared" si="134"/>
        <v>72</v>
      </c>
      <c r="D407">
        <f t="shared" si="135"/>
        <v>0.10100000000000001</v>
      </c>
      <c r="P407" s="60"/>
      <c r="Q407" s="62">
        <f t="shared" si="124"/>
        <v>72</v>
      </c>
      <c r="R407">
        <f t="shared" si="125"/>
        <v>5.8472222222222224E-2</v>
      </c>
      <c r="S407" s="60"/>
      <c r="Z407" s="60"/>
      <c r="AA407" s="62">
        <f t="shared" si="126"/>
        <v>72</v>
      </c>
      <c r="AB407">
        <f t="shared" si="127"/>
        <v>3.8756835380111574</v>
      </c>
    </row>
    <row r="408" spans="3:28" x14ac:dyDescent="0.2">
      <c r="C408" s="61">
        <f t="shared" si="134"/>
        <v>73</v>
      </c>
      <c r="D408">
        <f t="shared" si="135"/>
        <v>0.19600000000000001</v>
      </c>
      <c r="P408" s="60"/>
      <c r="Q408" s="62">
        <f t="shared" si="124"/>
        <v>73</v>
      </c>
      <c r="R408">
        <f t="shared" si="125"/>
        <v>0.15347222222222223</v>
      </c>
      <c r="S408" s="60"/>
      <c r="Z408" s="60"/>
      <c r="AA408" s="62">
        <f t="shared" si="126"/>
        <v>73</v>
      </c>
      <c r="AB408">
        <f t="shared" si="127"/>
        <v>10.172518549886767</v>
      </c>
    </row>
    <row r="409" spans="3:28" x14ac:dyDescent="0.2">
      <c r="C409" s="61">
        <f t="shared" si="134"/>
        <v>74</v>
      </c>
      <c r="D409">
        <f t="shared" si="135"/>
        <v>0.192</v>
      </c>
      <c r="P409" s="60"/>
      <c r="Q409" s="62">
        <f t="shared" si="124"/>
        <v>74</v>
      </c>
      <c r="R409">
        <f t="shared" si="125"/>
        <v>0.14947222222222223</v>
      </c>
      <c r="S409" s="60"/>
      <c r="Z409" s="60"/>
      <c r="AA409" s="62">
        <f t="shared" si="126"/>
        <v>74</v>
      </c>
      <c r="AB409">
        <f t="shared" si="127"/>
        <v>9.9073886546498997</v>
      </c>
    </row>
    <row r="410" spans="3:28" x14ac:dyDescent="0.2">
      <c r="C410" s="61">
        <f t="shared" si="134"/>
        <v>75</v>
      </c>
      <c r="D410">
        <f t="shared" si="135"/>
        <v>0.41199999999999998</v>
      </c>
      <c r="P410" s="60"/>
      <c r="Q410" s="62">
        <f t="shared" si="124"/>
        <v>75</v>
      </c>
      <c r="R410">
        <f t="shared" si="125"/>
        <v>0.3694722222222222</v>
      </c>
      <c r="S410" s="60"/>
      <c r="Z410" s="60"/>
      <c r="AA410" s="62">
        <f t="shared" si="126"/>
        <v>75</v>
      </c>
      <c r="AB410">
        <f t="shared" si="127"/>
        <v>24.489532892677627</v>
      </c>
    </row>
    <row r="411" spans="3:28" x14ac:dyDescent="0.2">
      <c r="C411" s="61">
        <f t="shared" si="134"/>
        <v>76</v>
      </c>
      <c r="D411">
        <f t="shared" si="135"/>
        <v>0.86099999999999999</v>
      </c>
      <c r="P411" s="60"/>
      <c r="Q411" s="62">
        <f t="shared" si="124"/>
        <v>76</v>
      </c>
      <c r="R411">
        <f t="shared" si="125"/>
        <v>0.81847222222222216</v>
      </c>
      <c r="S411" s="60"/>
      <c r="Z411" s="60"/>
      <c r="AA411" s="62">
        <f t="shared" si="126"/>
        <v>76</v>
      </c>
      <c r="AB411">
        <f t="shared" si="127"/>
        <v>54.250363633016029</v>
      </c>
    </row>
    <row r="412" spans="3:28" x14ac:dyDescent="0.2">
      <c r="C412" s="61">
        <f t="shared" ref="C412:C417" si="136">Y368</f>
        <v>77</v>
      </c>
      <c r="D412">
        <f t="shared" ref="D412:D417" si="137">K368</f>
        <v>0.58699999999999997</v>
      </c>
      <c r="P412" s="60"/>
      <c r="Q412" s="62">
        <f t="shared" si="124"/>
        <v>77</v>
      </c>
      <c r="R412">
        <f t="shared" si="125"/>
        <v>0.54447222222222214</v>
      </c>
      <c r="S412" s="60"/>
      <c r="Z412" s="60"/>
      <c r="AA412" s="62">
        <f t="shared" si="126"/>
        <v>77</v>
      </c>
      <c r="AB412">
        <f t="shared" si="127"/>
        <v>36.088965809290585</v>
      </c>
    </row>
    <row r="413" spans="3:28" x14ac:dyDescent="0.2">
      <c r="C413" s="61">
        <f t="shared" si="136"/>
        <v>78</v>
      </c>
      <c r="D413">
        <f t="shared" si="137"/>
        <v>0.45800000000000002</v>
      </c>
      <c r="P413" s="60"/>
      <c r="Q413" s="62">
        <f t="shared" si="124"/>
        <v>78</v>
      </c>
      <c r="R413">
        <f t="shared" si="125"/>
        <v>0.41547222222222224</v>
      </c>
      <c r="S413" s="60"/>
      <c r="Z413" s="60"/>
      <c r="AA413" s="62">
        <f t="shared" si="126"/>
        <v>78</v>
      </c>
      <c r="AB413">
        <f t="shared" si="127"/>
        <v>27.538526687901605</v>
      </c>
    </row>
    <row r="414" spans="3:28" x14ac:dyDescent="0.2">
      <c r="C414" s="61">
        <f t="shared" si="136"/>
        <v>79</v>
      </c>
      <c r="D414">
        <f t="shared" si="137"/>
        <v>0.91900000000000004</v>
      </c>
      <c r="P414" s="60"/>
      <c r="Q414" s="62">
        <f t="shared" si="124"/>
        <v>79</v>
      </c>
      <c r="R414">
        <f t="shared" si="125"/>
        <v>0.87647222222222221</v>
      </c>
      <c r="S414" s="60"/>
      <c r="Z414" s="60"/>
      <c r="AA414" s="62">
        <f t="shared" si="126"/>
        <v>79</v>
      </c>
      <c r="AB414">
        <f t="shared" si="127"/>
        <v>58.094747113950618</v>
      </c>
    </row>
    <row r="415" spans="3:28" x14ac:dyDescent="0.2">
      <c r="C415" s="61">
        <f t="shared" si="136"/>
        <v>80</v>
      </c>
      <c r="D415">
        <f t="shared" si="137"/>
        <v>1.0209999999999999</v>
      </c>
      <c r="P415" s="60"/>
      <c r="Q415" s="62">
        <f t="shared" si="124"/>
        <v>80</v>
      </c>
      <c r="R415">
        <f t="shared" si="125"/>
        <v>0.97847222222222208</v>
      </c>
      <c r="S415" s="60"/>
      <c r="Z415" s="60"/>
      <c r="AA415" s="62">
        <f t="shared" si="126"/>
        <v>80</v>
      </c>
      <c r="AB415">
        <f t="shared" si="127"/>
        <v>64.855559442490744</v>
      </c>
    </row>
    <row r="416" spans="3:28" x14ac:dyDescent="0.2">
      <c r="C416" s="61">
        <f t="shared" si="136"/>
        <v>81</v>
      </c>
      <c r="D416">
        <f t="shared" si="137"/>
        <v>1.095</v>
      </c>
      <c r="P416" s="60"/>
      <c r="Q416" s="62">
        <f t="shared" si="124"/>
        <v>81</v>
      </c>
      <c r="R416">
        <f t="shared" si="125"/>
        <v>1.0524722222222223</v>
      </c>
      <c r="S416" s="60"/>
      <c r="Z416" s="60"/>
      <c r="AA416" s="62">
        <f t="shared" si="126"/>
        <v>81</v>
      </c>
      <c r="AB416">
        <f t="shared" si="127"/>
        <v>69.760462504372796</v>
      </c>
    </row>
    <row r="417" spans="2:28" x14ac:dyDescent="0.2">
      <c r="C417" s="61">
        <f t="shared" si="136"/>
        <v>82</v>
      </c>
      <c r="D417">
        <f t="shared" si="137"/>
        <v>1.018</v>
      </c>
      <c r="P417" s="60"/>
      <c r="Q417" s="62">
        <f t="shared" si="124"/>
        <v>82</v>
      </c>
      <c r="R417">
        <f t="shared" si="125"/>
        <v>0.97547222222222219</v>
      </c>
      <c r="S417" s="60"/>
      <c r="Z417" s="60"/>
      <c r="AA417" s="62">
        <f t="shared" si="126"/>
        <v>82</v>
      </c>
      <c r="AB417">
        <f t="shared" si="127"/>
        <v>64.656712021063086</v>
      </c>
    </row>
    <row r="418" spans="2:28" x14ac:dyDescent="0.2">
      <c r="C418" s="61">
        <f t="shared" ref="C418:C423" si="138">AA368</f>
        <v>83</v>
      </c>
      <c r="D418">
        <f t="shared" ref="D418:D423" si="139">M368</f>
        <v>0.17499999999999999</v>
      </c>
      <c r="P418" s="60"/>
      <c r="Q418" s="62">
        <f t="shared" si="124"/>
        <v>83</v>
      </c>
      <c r="R418">
        <f t="shared" si="125"/>
        <v>0.13247222222222221</v>
      </c>
      <c r="S418" s="60"/>
      <c r="Z418" s="60"/>
      <c r="AA418" s="62">
        <f t="shared" si="126"/>
        <v>83</v>
      </c>
      <c r="AB418">
        <f t="shared" si="127"/>
        <v>8.7805865998932102</v>
      </c>
    </row>
    <row r="419" spans="2:28" x14ac:dyDescent="0.2">
      <c r="C419" s="61">
        <f t="shared" si="138"/>
        <v>84</v>
      </c>
      <c r="D419">
        <f t="shared" si="139"/>
        <v>0.51900000000000002</v>
      </c>
      <c r="P419" s="60"/>
      <c r="Q419" s="62">
        <f t="shared" si="124"/>
        <v>84</v>
      </c>
      <c r="R419">
        <f t="shared" si="125"/>
        <v>0.47647222222222224</v>
      </c>
      <c r="Z419" s="60"/>
      <c r="AA419" s="62">
        <f t="shared" si="126"/>
        <v>84</v>
      </c>
      <c r="AB419">
        <f t="shared" si="127"/>
        <v>31.581757590263841</v>
      </c>
    </row>
    <row r="420" spans="2:28" x14ac:dyDescent="0.2">
      <c r="C420" s="61">
        <f t="shared" si="138"/>
        <v>85</v>
      </c>
      <c r="D420">
        <f t="shared" si="139"/>
        <v>0.36099999999999999</v>
      </c>
      <c r="P420" s="60"/>
      <c r="Q420" s="62">
        <f t="shared" si="124"/>
        <v>85</v>
      </c>
      <c r="R420">
        <f t="shared" si="125"/>
        <v>0.31847222222222221</v>
      </c>
      <c r="S420" s="58"/>
      <c r="Z420" s="60"/>
      <c r="AA420" s="62">
        <f t="shared" si="126"/>
        <v>85</v>
      </c>
      <c r="AB420">
        <f t="shared" si="127"/>
        <v>21.10912672840756</v>
      </c>
    </row>
    <row r="421" spans="2:28" x14ac:dyDescent="0.2">
      <c r="C421" s="61">
        <f t="shared" si="138"/>
        <v>86</v>
      </c>
      <c r="D421">
        <f t="shared" si="139"/>
        <v>0.35</v>
      </c>
      <c r="P421" s="60"/>
      <c r="Q421" s="62">
        <f t="shared" si="124"/>
        <v>86</v>
      </c>
      <c r="R421">
        <f t="shared" si="125"/>
        <v>0.3074722222222222</v>
      </c>
      <c r="Z421" s="60"/>
      <c r="AA421" s="62">
        <f t="shared" si="126"/>
        <v>86</v>
      </c>
      <c r="AB421">
        <f t="shared" si="127"/>
        <v>20.380019516506174</v>
      </c>
    </row>
    <row r="422" spans="2:28" x14ac:dyDescent="0.2">
      <c r="C422" s="61">
        <f t="shared" si="138"/>
        <v>87</v>
      </c>
      <c r="D422">
        <f t="shared" si="139"/>
        <v>1.264</v>
      </c>
      <c r="P422" s="60"/>
      <c r="Q422" s="62">
        <f t="shared" si="124"/>
        <v>87</v>
      </c>
      <c r="R422">
        <f t="shared" si="125"/>
        <v>1.2214722222222223</v>
      </c>
      <c r="Z422" s="60"/>
      <c r="AA422" s="62">
        <f t="shared" si="126"/>
        <v>87</v>
      </c>
      <c r="AB422">
        <f t="shared" si="127"/>
        <v>80.962200578130464</v>
      </c>
    </row>
    <row r="423" spans="2:28" x14ac:dyDescent="0.2">
      <c r="C423" s="61">
        <f t="shared" si="138"/>
        <v>88</v>
      </c>
      <c r="D423">
        <f t="shared" si="139"/>
        <v>1.258</v>
      </c>
      <c r="P423" s="60"/>
      <c r="Q423" s="62">
        <f t="shared" si="124"/>
        <v>88</v>
      </c>
      <c r="R423">
        <f t="shared" si="125"/>
        <v>1.2154722222222223</v>
      </c>
      <c r="Z423" s="60"/>
      <c r="AA423" s="62">
        <f t="shared" si="126"/>
        <v>88</v>
      </c>
      <c r="AB423">
        <f>R423*100/$AF$378</f>
        <v>80.564505735275162</v>
      </c>
    </row>
    <row r="425" spans="2:28" x14ac:dyDescent="0.2">
      <c r="B425" s="7" t="s">
        <v>86</v>
      </c>
      <c r="C425" s="40">
        <v>45378</v>
      </c>
      <c r="D425" s="7" t="s">
        <v>68</v>
      </c>
      <c r="E425" s="41"/>
    </row>
    <row r="426" spans="2:28" x14ac:dyDescent="0.2">
      <c r="B426" s="42"/>
      <c r="C426" s="42">
        <v>1</v>
      </c>
      <c r="D426" s="42">
        <v>2</v>
      </c>
      <c r="E426" s="42">
        <v>3</v>
      </c>
      <c r="F426" s="42">
        <v>4</v>
      </c>
      <c r="G426" s="42">
        <v>5</v>
      </c>
      <c r="H426" s="42">
        <v>6</v>
      </c>
      <c r="I426" s="42">
        <v>7</v>
      </c>
      <c r="J426" s="42">
        <v>8</v>
      </c>
      <c r="K426" s="42">
        <v>9</v>
      </c>
      <c r="L426" s="42">
        <v>10</v>
      </c>
      <c r="M426" s="42">
        <v>11</v>
      </c>
      <c r="N426" s="42">
        <v>12</v>
      </c>
      <c r="Q426" s="1">
        <v>1</v>
      </c>
      <c r="R426" s="1">
        <v>2</v>
      </c>
      <c r="S426" s="1">
        <v>3</v>
      </c>
      <c r="T426" s="1">
        <v>4</v>
      </c>
      <c r="U426" s="1">
        <v>5</v>
      </c>
      <c r="V426" s="1">
        <v>6</v>
      </c>
      <c r="W426" s="1">
        <v>7</v>
      </c>
      <c r="X426" s="1">
        <v>8</v>
      </c>
      <c r="Y426" s="1">
        <v>9</v>
      </c>
      <c r="Z426" s="1">
        <v>10</v>
      </c>
      <c r="AA426" s="1">
        <v>11</v>
      </c>
      <c r="AB426" s="1">
        <v>12</v>
      </c>
    </row>
    <row r="427" spans="2:28" x14ac:dyDescent="0.2">
      <c r="B427" s="43" t="s">
        <v>0</v>
      </c>
      <c r="C427" s="44">
        <v>4.1000000000000002E-2</v>
      </c>
      <c r="D427" s="44">
        <v>4.2000000000000003E-2</v>
      </c>
      <c r="E427" s="44">
        <v>4.1000000000000002E-2</v>
      </c>
      <c r="F427" s="44">
        <v>4.2000000000000003E-2</v>
      </c>
      <c r="G427" s="44">
        <v>4.1000000000000002E-2</v>
      </c>
      <c r="H427" s="44">
        <v>0.04</v>
      </c>
      <c r="I427" s="44">
        <v>4.2999999999999997E-2</v>
      </c>
      <c r="J427" s="44">
        <v>4.1000000000000002E-2</v>
      </c>
      <c r="K427" s="44">
        <v>0.04</v>
      </c>
      <c r="L427" s="44">
        <v>4.1000000000000002E-2</v>
      </c>
      <c r="M427" s="44">
        <v>0.04</v>
      </c>
      <c r="N427" s="44">
        <v>4.1000000000000002E-2</v>
      </c>
      <c r="O427" s="18">
        <v>570</v>
      </c>
      <c r="P427" s="1" t="s">
        <v>0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2:28" x14ac:dyDescent="0.2">
      <c r="B428" s="43" t="s">
        <v>1</v>
      </c>
      <c r="C428" s="44">
        <v>4.1000000000000002E-2</v>
      </c>
      <c r="D428" s="45">
        <v>1.629</v>
      </c>
      <c r="E428" s="52">
        <v>0.72899999999999998</v>
      </c>
      <c r="F428" s="44">
        <v>0.108</v>
      </c>
      <c r="G428" s="52">
        <v>0.70599999999999996</v>
      </c>
      <c r="H428" s="49">
        <v>1.5189999999999999</v>
      </c>
      <c r="I428" s="50">
        <v>0.46400000000000002</v>
      </c>
      <c r="J428" s="44">
        <v>4.8000000000000001E-2</v>
      </c>
      <c r="K428" s="51">
        <v>0.61</v>
      </c>
      <c r="L428" s="67">
        <v>1.4139999999999999</v>
      </c>
      <c r="M428" s="44">
        <v>0.14199999999999999</v>
      </c>
      <c r="N428" s="44">
        <v>0.04</v>
      </c>
      <c r="O428" s="18">
        <v>570</v>
      </c>
      <c r="P428" s="1" t="s">
        <v>1</v>
      </c>
      <c r="Q428" s="2"/>
      <c r="R428" s="3" t="s">
        <v>2</v>
      </c>
      <c r="S428" s="4">
        <v>47</v>
      </c>
      <c r="T428" s="4">
        <v>53</v>
      </c>
      <c r="U428" s="4">
        <v>59</v>
      </c>
      <c r="V428" s="3" t="s">
        <v>2</v>
      </c>
      <c r="W428" s="4">
        <v>65</v>
      </c>
      <c r="X428" s="4">
        <v>71</v>
      </c>
      <c r="Y428" s="4">
        <v>77</v>
      </c>
      <c r="Z428" s="3" t="s">
        <v>2</v>
      </c>
      <c r="AA428" s="4">
        <v>83</v>
      </c>
      <c r="AB428" s="5"/>
    </row>
    <row r="429" spans="2:28" x14ac:dyDescent="0.2">
      <c r="B429" s="43" t="s">
        <v>3</v>
      </c>
      <c r="C429" s="44">
        <v>4.2000000000000003E-2</v>
      </c>
      <c r="D429" s="47">
        <v>0.19600000000000001</v>
      </c>
      <c r="E429" s="52">
        <v>0.75600000000000001</v>
      </c>
      <c r="F429" s="47">
        <v>0.21299999999999999</v>
      </c>
      <c r="G429" s="53">
        <v>0.91700000000000004</v>
      </c>
      <c r="H429" s="48">
        <v>0.33300000000000002</v>
      </c>
      <c r="I429" s="51">
        <v>0.59099999999999997</v>
      </c>
      <c r="J429" s="44">
        <v>8.8999999999999996E-2</v>
      </c>
      <c r="K429" s="50">
        <v>0.51400000000000001</v>
      </c>
      <c r="L429" s="44">
        <v>0.155</v>
      </c>
      <c r="M429" s="51">
        <v>0.55300000000000005</v>
      </c>
      <c r="N429" s="44">
        <v>4.2000000000000003E-2</v>
      </c>
      <c r="O429" s="18">
        <v>570</v>
      </c>
      <c r="P429" s="1" t="s">
        <v>3</v>
      </c>
      <c r="Q429" s="2"/>
      <c r="R429" s="6" t="s">
        <v>4</v>
      </c>
      <c r="S429" s="4">
        <v>48</v>
      </c>
      <c r="T429" s="4">
        <v>54</v>
      </c>
      <c r="U429" s="4">
        <v>60</v>
      </c>
      <c r="V429" s="6" t="s">
        <v>4</v>
      </c>
      <c r="W429" s="4">
        <v>66</v>
      </c>
      <c r="X429" s="4">
        <v>72</v>
      </c>
      <c r="Y429" s="4">
        <v>78</v>
      </c>
      <c r="Z429" s="6" t="s">
        <v>4</v>
      </c>
      <c r="AA429" s="4">
        <v>84</v>
      </c>
      <c r="AB429" s="5"/>
    </row>
    <row r="430" spans="2:28" x14ac:dyDescent="0.2">
      <c r="B430" s="43" t="s">
        <v>5</v>
      </c>
      <c r="C430" s="44">
        <v>4.1000000000000002E-2</v>
      </c>
      <c r="D430" s="45">
        <v>1.6060000000000001</v>
      </c>
      <c r="E430" s="52">
        <v>0.76700000000000002</v>
      </c>
      <c r="F430" s="56">
        <v>1.0669999999999999</v>
      </c>
      <c r="G430" s="51">
        <v>0.61499999999999999</v>
      </c>
      <c r="H430" s="45">
        <v>1.647</v>
      </c>
      <c r="I430" s="55">
        <v>1.2649999999999999</v>
      </c>
      <c r="J430" s="47">
        <v>0.192</v>
      </c>
      <c r="K430" s="56">
        <v>1.1140000000000001</v>
      </c>
      <c r="L430" s="45">
        <v>1.599</v>
      </c>
      <c r="M430" s="50">
        <v>0.43099999999999999</v>
      </c>
      <c r="N430" s="44">
        <v>4.3999999999999997E-2</v>
      </c>
      <c r="O430" s="18">
        <v>570</v>
      </c>
      <c r="P430" s="1" t="s">
        <v>5</v>
      </c>
      <c r="Q430" s="2"/>
      <c r="R430" s="3" t="s">
        <v>2</v>
      </c>
      <c r="S430" s="4">
        <v>49</v>
      </c>
      <c r="T430" s="4">
        <v>55</v>
      </c>
      <c r="U430" s="4">
        <v>61</v>
      </c>
      <c r="V430" s="3" t="s">
        <v>2</v>
      </c>
      <c r="W430" s="4">
        <v>67</v>
      </c>
      <c r="X430" s="4">
        <v>73</v>
      </c>
      <c r="Y430" s="4">
        <v>79</v>
      </c>
      <c r="Z430" s="3" t="s">
        <v>2</v>
      </c>
      <c r="AA430" s="4">
        <v>85</v>
      </c>
      <c r="AB430" s="5"/>
    </row>
    <row r="431" spans="2:28" x14ac:dyDescent="0.2">
      <c r="B431" s="43" t="s">
        <v>6</v>
      </c>
      <c r="C431" s="44">
        <v>4.2999999999999997E-2</v>
      </c>
      <c r="D431" s="44">
        <v>0.14299999999999999</v>
      </c>
      <c r="E431" s="53">
        <v>0.80700000000000005</v>
      </c>
      <c r="F431" s="55">
        <v>1.181</v>
      </c>
      <c r="G431" s="53">
        <v>0.81100000000000005</v>
      </c>
      <c r="H431" s="44">
        <v>0.15</v>
      </c>
      <c r="I431" s="55">
        <v>1.294</v>
      </c>
      <c r="J431" s="47">
        <v>0.188</v>
      </c>
      <c r="K431" s="56">
        <v>1.056</v>
      </c>
      <c r="L431" s="47">
        <v>0.251</v>
      </c>
      <c r="M431" s="47">
        <v>0.25</v>
      </c>
      <c r="N431" s="44">
        <v>4.1000000000000002E-2</v>
      </c>
      <c r="O431" s="18">
        <v>570</v>
      </c>
      <c r="P431" s="1" t="s">
        <v>6</v>
      </c>
      <c r="Q431" s="2"/>
      <c r="R431" s="6" t="s">
        <v>4</v>
      </c>
      <c r="S431" s="4">
        <v>50</v>
      </c>
      <c r="T431" s="4">
        <v>56</v>
      </c>
      <c r="U431" s="4">
        <v>62</v>
      </c>
      <c r="V431" s="6" t="s">
        <v>4</v>
      </c>
      <c r="W431" s="4">
        <v>68</v>
      </c>
      <c r="X431" s="4">
        <v>74</v>
      </c>
      <c r="Y431" s="4">
        <v>80</v>
      </c>
      <c r="Z431" s="6" t="s">
        <v>4</v>
      </c>
      <c r="AA431" s="4">
        <v>86</v>
      </c>
      <c r="AB431" s="5"/>
    </row>
    <row r="432" spans="2:28" x14ac:dyDescent="0.2">
      <c r="B432" s="43" t="s">
        <v>7</v>
      </c>
      <c r="C432" s="44">
        <v>4.1000000000000002E-2</v>
      </c>
      <c r="D432" s="45">
        <v>1.6259999999999999</v>
      </c>
      <c r="E432" s="47">
        <v>0.22700000000000001</v>
      </c>
      <c r="F432" s="55">
        <v>1.2509999999999999</v>
      </c>
      <c r="G432" s="52">
        <v>0.67400000000000004</v>
      </c>
      <c r="H432" s="54">
        <v>1.782</v>
      </c>
      <c r="I432" s="67">
        <v>1.369</v>
      </c>
      <c r="J432" s="48">
        <v>0.40600000000000003</v>
      </c>
      <c r="K432" s="56">
        <v>1.167</v>
      </c>
      <c r="L432" s="54">
        <v>1.8109999999999999</v>
      </c>
      <c r="M432" s="56">
        <v>1.1539999999999999</v>
      </c>
      <c r="N432" s="44">
        <v>4.1000000000000002E-2</v>
      </c>
      <c r="O432" s="18">
        <v>570</v>
      </c>
      <c r="P432" s="1" t="s">
        <v>7</v>
      </c>
      <c r="Q432" s="2"/>
      <c r="R432" s="3" t="s">
        <v>2</v>
      </c>
      <c r="S432" s="4">
        <v>51</v>
      </c>
      <c r="T432" s="4">
        <v>57</v>
      </c>
      <c r="U432" s="4">
        <v>63</v>
      </c>
      <c r="V432" s="3" t="s">
        <v>2</v>
      </c>
      <c r="W432" s="4">
        <v>69</v>
      </c>
      <c r="X432" s="4">
        <v>75</v>
      </c>
      <c r="Y432" s="4">
        <v>81</v>
      </c>
      <c r="Z432" s="3" t="s">
        <v>2</v>
      </c>
      <c r="AA432" s="4">
        <v>87</v>
      </c>
      <c r="AB432" s="5"/>
    </row>
    <row r="433" spans="2:38" x14ac:dyDescent="0.2">
      <c r="B433" s="43" t="s">
        <v>8</v>
      </c>
      <c r="C433" s="44">
        <v>0.04</v>
      </c>
      <c r="D433" s="44">
        <v>0.127</v>
      </c>
      <c r="E433" s="44">
        <v>5.8000000000000003E-2</v>
      </c>
      <c r="F433" s="67">
        <v>1.391</v>
      </c>
      <c r="G433" s="47">
        <v>0.252</v>
      </c>
      <c r="H433" s="47">
        <v>0.20200000000000001</v>
      </c>
      <c r="I433" s="67">
        <v>1.343</v>
      </c>
      <c r="J433" s="53">
        <v>0.89300000000000002</v>
      </c>
      <c r="K433" s="56">
        <v>1.097</v>
      </c>
      <c r="L433" s="47">
        <v>0.254</v>
      </c>
      <c r="M433" s="55">
        <v>1.222</v>
      </c>
      <c r="N433" s="44">
        <v>0.04</v>
      </c>
      <c r="O433" s="18">
        <v>570</v>
      </c>
      <c r="P433" s="1" t="s">
        <v>8</v>
      </c>
      <c r="Q433" s="2"/>
      <c r="R433" s="6" t="s">
        <v>4</v>
      </c>
      <c r="S433" s="4">
        <v>52</v>
      </c>
      <c r="T433" s="4">
        <v>58</v>
      </c>
      <c r="U433" s="4">
        <v>64</v>
      </c>
      <c r="V433" s="6" t="s">
        <v>4</v>
      </c>
      <c r="W433" s="4">
        <v>70</v>
      </c>
      <c r="X433" s="4">
        <v>76</v>
      </c>
      <c r="Y433" s="4">
        <v>82</v>
      </c>
      <c r="Z433" s="6" t="s">
        <v>4</v>
      </c>
      <c r="AA433" s="4">
        <v>88</v>
      </c>
      <c r="AB433" s="5"/>
    </row>
    <row r="434" spans="2:38" x14ac:dyDescent="0.2">
      <c r="B434" s="43" t="s">
        <v>9</v>
      </c>
      <c r="C434" s="44">
        <v>4.1000000000000002E-2</v>
      </c>
      <c r="D434" s="44">
        <v>0.04</v>
      </c>
      <c r="E434" s="44">
        <v>4.1000000000000002E-2</v>
      </c>
      <c r="F434" s="44">
        <v>0.04</v>
      </c>
      <c r="G434" s="44">
        <v>4.1000000000000002E-2</v>
      </c>
      <c r="H434" s="44">
        <v>4.3999999999999997E-2</v>
      </c>
      <c r="I434" s="44">
        <v>4.1000000000000002E-2</v>
      </c>
      <c r="J434" s="44">
        <v>4.2000000000000003E-2</v>
      </c>
      <c r="K434" s="44">
        <v>4.2000000000000003E-2</v>
      </c>
      <c r="L434" s="44">
        <v>4.2999999999999997E-2</v>
      </c>
      <c r="M434" s="44">
        <v>4.1000000000000002E-2</v>
      </c>
      <c r="N434" s="44">
        <v>4.5999999999999999E-2</v>
      </c>
      <c r="O434" s="18">
        <v>570</v>
      </c>
      <c r="P434" s="1" t="s">
        <v>9</v>
      </c>
      <c r="Q434" s="2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6" spans="2:38" x14ac:dyDescent="0.2">
      <c r="B436" s="57" t="s">
        <v>42</v>
      </c>
      <c r="P436" s="57" t="s">
        <v>43</v>
      </c>
    </row>
    <row r="437" spans="2:38" x14ac:dyDescent="0.2">
      <c r="C437" s="58" t="s">
        <v>44</v>
      </c>
      <c r="D437">
        <f>AVERAGE(D434:N434,N427:N433,D427:M427,C427:C434)</f>
        <v>4.1416666666666671E-2</v>
      </c>
      <c r="AE437" t="s">
        <v>45</v>
      </c>
      <c r="AH437" t="s">
        <v>46</v>
      </c>
    </row>
    <row r="438" spans="2:38" x14ac:dyDescent="0.2">
      <c r="C438" s="58" t="s">
        <v>47</v>
      </c>
      <c r="D438">
        <f>D428</f>
        <v>1.629</v>
      </c>
      <c r="E438">
        <f>D430</f>
        <v>1.6060000000000001</v>
      </c>
      <c r="F438">
        <f>D432</f>
        <v>1.6259999999999999</v>
      </c>
      <c r="G438">
        <f>H428</f>
        <v>1.5189999999999999</v>
      </c>
      <c r="H438">
        <f>H430</f>
        <v>1.647</v>
      </c>
      <c r="I438">
        <f>H432</f>
        <v>1.782</v>
      </c>
      <c r="J438">
        <f>L428</f>
        <v>1.4139999999999999</v>
      </c>
      <c r="K438">
        <f>L430</f>
        <v>1.599</v>
      </c>
      <c r="L438">
        <f>L432</f>
        <v>1.8109999999999999</v>
      </c>
      <c r="Q438" s="58" t="s">
        <v>47</v>
      </c>
      <c r="R438">
        <f>D438-$D$437</f>
        <v>1.5875833333333333</v>
      </c>
      <c r="S438">
        <f t="shared" ref="S438:Y438" si="140">E438-$D$437</f>
        <v>1.5645833333333334</v>
      </c>
      <c r="T438">
        <f t="shared" si="140"/>
        <v>1.5845833333333332</v>
      </c>
      <c r="U438">
        <f t="shared" si="140"/>
        <v>1.4775833333333332</v>
      </c>
      <c r="V438">
        <f t="shared" si="140"/>
        <v>1.6055833333333334</v>
      </c>
      <c r="W438">
        <f t="shared" si="140"/>
        <v>1.7405833333333334</v>
      </c>
      <c r="X438">
        <f t="shared" si="140"/>
        <v>1.3725833333333333</v>
      </c>
      <c r="Y438">
        <f t="shared" si="140"/>
        <v>1.5575833333333333</v>
      </c>
      <c r="Z438">
        <f>L438-$D$437</f>
        <v>1.7695833333333333</v>
      </c>
      <c r="AE438" t="s">
        <v>48</v>
      </c>
      <c r="AF438">
        <f>AVERAGE(R438:Z438)</f>
        <v>1.5844722222222223</v>
      </c>
      <c r="AH438" t="s">
        <v>48</v>
      </c>
      <c r="AI438">
        <f>AVERAGE(R440:Z440)</f>
        <v>0.15980555555555556</v>
      </c>
      <c r="AK438" s="59" t="s">
        <v>49</v>
      </c>
      <c r="AL438" s="59">
        <f>1- ((3*(AF439+AI439))/(AF438-AI438))</f>
        <v>0.60397553985955188</v>
      </c>
    </row>
    <row r="439" spans="2:38" x14ac:dyDescent="0.2">
      <c r="C439" s="58"/>
      <c r="G439" s="60"/>
      <c r="Q439" s="58"/>
      <c r="AE439" t="s">
        <v>50</v>
      </c>
      <c r="AF439">
        <f>STDEV(R438:Z438)</f>
        <v>0.12069221644791812</v>
      </c>
      <c r="AH439" t="s">
        <v>50</v>
      </c>
      <c r="AI439">
        <f>STDEV(R440:Z440)</f>
        <v>6.7375399401001332E-2</v>
      </c>
      <c r="AK439" s="59"/>
      <c r="AL439" s="59"/>
    </row>
    <row r="440" spans="2:38" x14ac:dyDescent="0.2">
      <c r="C440" s="58" t="s">
        <v>4</v>
      </c>
      <c r="D440">
        <f>D429</f>
        <v>0.19600000000000001</v>
      </c>
      <c r="E440">
        <f>D431</f>
        <v>0.14299999999999999</v>
      </c>
      <c r="F440">
        <f>D433</f>
        <v>0.127</v>
      </c>
      <c r="G440">
        <f>H429</f>
        <v>0.33300000000000002</v>
      </c>
      <c r="H440">
        <f>H431</f>
        <v>0.15</v>
      </c>
      <c r="I440">
        <f>H433</f>
        <v>0.20200000000000001</v>
      </c>
      <c r="J440">
        <f>L429</f>
        <v>0.155</v>
      </c>
      <c r="K440">
        <f>L431</f>
        <v>0.251</v>
      </c>
      <c r="L440">
        <f>L433</f>
        <v>0.254</v>
      </c>
      <c r="Q440" s="58" t="s">
        <v>4</v>
      </c>
      <c r="R440">
        <f>D440-$D$437</f>
        <v>0.15458333333333335</v>
      </c>
      <c r="S440">
        <f t="shared" ref="S440:Y440" si="141">E440-$D$437</f>
        <v>0.10158333333333332</v>
      </c>
      <c r="T440">
        <f t="shared" si="141"/>
        <v>8.5583333333333331E-2</v>
      </c>
      <c r="U440">
        <f t="shared" si="141"/>
        <v>0.29158333333333336</v>
      </c>
      <c r="V440">
        <f t="shared" si="141"/>
        <v>0.10858333333333332</v>
      </c>
      <c r="W440">
        <f t="shared" si="141"/>
        <v>0.16058333333333336</v>
      </c>
      <c r="X440">
        <f t="shared" si="141"/>
        <v>0.11358333333333333</v>
      </c>
      <c r="Y440">
        <f t="shared" si="141"/>
        <v>0.20958333333333334</v>
      </c>
      <c r="Z440">
        <f>L440-$D$437</f>
        <v>0.21258333333333335</v>
      </c>
      <c r="AB440" s="58" t="s">
        <v>51</v>
      </c>
      <c r="AC440" s="58" t="s">
        <v>52</v>
      </c>
      <c r="AD440" s="58"/>
      <c r="AE440" t="s">
        <v>53</v>
      </c>
      <c r="AF440">
        <f>AF439*100/AF438</f>
        <v>7.6171872725321297</v>
      </c>
    </row>
    <row r="441" spans="2:38" x14ac:dyDescent="0.2">
      <c r="C441" s="58"/>
      <c r="D441" s="60"/>
      <c r="Q441" s="58"/>
      <c r="AB441" s="58"/>
      <c r="AC441" s="58"/>
      <c r="AD441" s="58"/>
      <c r="AE441" t="s">
        <v>54</v>
      </c>
      <c r="AF441">
        <f>3*AF439</f>
        <v>0.36207664934375439</v>
      </c>
    </row>
    <row r="442" spans="2:38" x14ac:dyDescent="0.2">
      <c r="C442" s="61">
        <f t="shared" ref="C442:C447" si="142">S428</f>
        <v>47</v>
      </c>
      <c r="D442">
        <f t="shared" ref="D442:D447" si="143">E428</f>
        <v>0.72899999999999998</v>
      </c>
      <c r="P442" s="60"/>
      <c r="Q442" s="62">
        <f>C442</f>
        <v>47</v>
      </c>
      <c r="R442">
        <f>D442-$D$437</f>
        <v>0.68758333333333332</v>
      </c>
      <c r="S442" s="60"/>
      <c r="Z442" s="60"/>
      <c r="AA442" s="62">
        <f>C442</f>
        <v>47</v>
      </c>
      <c r="AB442">
        <f>R442*100/$AF$438</f>
        <v>43.395101768903061</v>
      </c>
    </row>
    <row r="443" spans="2:38" x14ac:dyDescent="0.2">
      <c r="C443" s="61">
        <f t="shared" si="142"/>
        <v>48</v>
      </c>
      <c r="D443">
        <f t="shared" si="143"/>
        <v>0.75600000000000001</v>
      </c>
      <c r="P443" s="60"/>
      <c r="Q443" s="62">
        <f t="shared" ref="Q443:Q483" si="144">C443</f>
        <v>48</v>
      </c>
      <c r="R443">
        <f t="shared" ref="R443:R483" si="145">D443-$D$437</f>
        <v>0.71458333333333335</v>
      </c>
      <c r="S443" s="60"/>
      <c r="Z443" s="60"/>
      <c r="AA443" s="62">
        <f t="shared" ref="AA443:AA483" si="146">C443</f>
        <v>48</v>
      </c>
      <c r="AB443">
        <f>R443*100/$AF$438</f>
        <v>45.099139215651896</v>
      </c>
    </row>
    <row r="444" spans="2:38" x14ac:dyDescent="0.2">
      <c r="C444" s="61">
        <f t="shared" si="142"/>
        <v>49</v>
      </c>
      <c r="D444">
        <f t="shared" si="143"/>
        <v>0.76700000000000002</v>
      </c>
      <c r="P444" s="60"/>
      <c r="Q444" s="62">
        <f t="shared" si="144"/>
        <v>49</v>
      </c>
      <c r="R444">
        <f t="shared" si="145"/>
        <v>0.72558333333333336</v>
      </c>
      <c r="S444" s="60"/>
      <c r="Z444" s="60"/>
      <c r="AA444" s="62">
        <f t="shared" si="146"/>
        <v>49</v>
      </c>
      <c r="AB444">
        <f t="shared" ref="AB444:AB482" si="147">R444*100/$AF$438</f>
        <v>45.793376693956979</v>
      </c>
    </row>
    <row r="445" spans="2:38" x14ac:dyDescent="0.2">
      <c r="C445" s="61">
        <f t="shared" si="142"/>
        <v>50</v>
      </c>
      <c r="D445">
        <f t="shared" si="143"/>
        <v>0.80700000000000005</v>
      </c>
      <c r="P445" s="60"/>
      <c r="Q445" s="62">
        <f>C445</f>
        <v>50</v>
      </c>
      <c r="R445">
        <f>D445-$D$437</f>
        <v>0.76558333333333339</v>
      </c>
      <c r="S445" s="60"/>
      <c r="Z445" s="60"/>
      <c r="AA445" s="62">
        <f t="shared" si="146"/>
        <v>50</v>
      </c>
      <c r="AB445">
        <f t="shared" si="147"/>
        <v>48.317876615066353</v>
      </c>
    </row>
    <row r="446" spans="2:38" x14ac:dyDescent="0.2">
      <c r="C446" s="61">
        <f t="shared" si="142"/>
        <v>51</v>
      </c>
      <c r="D446">
        <f t="shared" si="143"/>
        <v>0.22700000000000001</v>
      </c>
      <c r="P446" s="60"/>
      <c r="Q446" s="62">
        <f t="shared" si="144"/>
        <v>51</v>
      </c>
      <c r="R446">
        <f>D446-$D$437</f>
        <v>0.18558333333333332</v>
      </c>
      <c r="S446" s="60"/>
      <c r="Z446" s="60"/>
      <c r="AA446" s="62">
        <f t="shared" si="146"/>
        <v>51</v>
      </c>
      <c r="AB446">
        <f t="shared" si="147"/>
        <v>11.712627758980382</v>
      </c>
    </row>
    <row r="447" spans="2:38" x14ac:dyDescent="0.2">
      <c r="C447" s="61">
        <f t="shared" si="142"/>
        <v>52</v>
      </c>
      <c r="D447">
        <f t="shared" si="143"/>
        <v>5.8000000000000003E-2</v>
      </c>
      <c r="P447" s="60"/>
      <c r="Q447" s="62">
        <f t="shared" si="144"/>
        <v>52</v>
      </c>
      <c r="R447">
        <f t="shared" si="145"/>
        <v>1.6583333333333332E-2</v>
      </c>
      <c r="S447" s="60"/>
      <c r="Z447" s="60"/>
      <c r="AA447" s="62">
        <f t="shared" si="146"/>
        <v>52</v>
      </c>
      <c r="AB447">
        <f t="shared" si="147"/>
        <v>1.0466155922932627</v>
      </c>
    </row>
    <row r="448" spans="2:38" x14ac:dyDescent="0.2">
      <c r="C448" s="61">
        <f t="shared" ref="C448:C453" si="148">T428</f>
        <v>53</v>
      </c>
      <c r="D448">
        <f t="shared" ref="D448:D453" si="149">F428</f>
        <v>0.108</v>
      </c>
      <c r="P448" s="60"/>
      <c r="Q448" s="62">
        <f t="shared" si="144"/>
        <v>53</v>
      </c>
      <c r="R448">
        <f t="shared" si="145"/>
        <v>6.6583333333333328E-2</v>
      </c>
      <c r="S448" s="60"/>
      <c r="Z448" s="60"/>
      <c r="AA448" s="62">
        <f t="shared" si="146"/>
        <v>53</v>
      </c>
      <c r="AB448">
        <f t="shared" si="147"/>
        <v>4.2022404936799846</v>
      </c>
    </row>
    <row r="449" spans="3:28" x14ac:dyDescent="0.2">
      <c r="C449" s="61">
        <f t="shared" si="148"/>
        <v>54</v>
      </c>
      <c r="D449">
        <f t="shared" si="149"/>
        <v>0.21299999999999999</v>
      </c>
      <c r="P449" s="60"/>
      <c r="Q449" s="62">
        <f t="shared" si="144"/>
        <v>54</v>
      </c>
      <c r="R449">
        <f>D449-$D$437</f>
        <v>0.17158333333333331</v>
      </c>
      <c r="S449" s="60"/>
      <c r="Z449" s="60"/>
      <c r="AA449" s="62">
        <f t="shared" si="146"/>
        <v>54</v>
      </c>
      <c r="AB449">
        <f t="shared" si="147"/>
        <v>10.829052786592099</v>
      </c>
    </row>
    <row r="450" spans="3:28" x14ac:dyDescent="0.2">
      <c r="C450" s="61">
        <f t="shared" si="148"/>
        <v>55</v>
      </c>
      <c r="D450">
        <f t="shared" si="149"/>
        <v>1.0669999999999999</v>
      </c>
      <c r="P450" s="60"/>
      <c r="Q450" s="62">
        <f t="shared" si="144"/>
        <v>55</v>
      </c>
      <c r="R450">
        <f t="shared" si="145"/>
        <v>1.0255833333333333</v>
      </c>
      <c r="S450" s="60"/>
      <c r="Z450" s="60"/>
      <c r="AA450" s="62">
        <f t="shared" si="146"/>
        <v>55</v>
      </c>
      <c r="AB450">
        <f t="shared" si="147"/>
        <v>64.727126102277296</v>
      </c>
    </row>
    <row r="451" spans="3:28" x14ac:dyDescent="0.2">
      <c r="C451" s="61">
        <f t="shared" si="148"/>
        <v>56</v>
      </c>
      <c r="D451">
        <f t="shared" si="149"/>
        <v>1.181</v>
      </c>
      <c r="P451" s="60"/>
      <c r="Q451" s="62">
        <f t="shared" si="144"/>
        <v>56</v>
      </c>
      <c r="R451">
        <f t="shared" si="145"/>
        <v>1.1395833333333334</v>
      </c>
      <c r="S451" s="60"/>
      <c r="Z451" s="60"/>
      <c r="AA451" s="62">
        <f t="shared" si="146"/>
        <v>56</v>
      </c>
      <c r="AB451">
        <f t="shared" si="147"/>
        <v>71.921950877439045</v>
      </c>
    </row>
    <row r="452" spans="3:28" x14ac:dyDescent="0.2">
      <c r="C452" s="61">
        <f t="shared" si="148"/>
        <v>57</v>
      </c>
      <c r="D452">
        <f t="shared" si="149"/>
        <v>1.2509999999999999</v>
      </c>
      <c r="P452" s="60"/>
      <c r="Q452" s="62">
        <f t="shared" si="144"/>
        <v>57</v>
      </c>
      <c r="R452">
        <f t="shared" si="145"/>
        <v>1.2095833333333332</v>
      </c>
      <c r="S452" s="60"/>
      <c r="Z452" s="60"/>
      <c r="AA452" s="62">
        <f t="shared" si="146"/>
        <v>57</v>
      </c>
      <c r="AB452">
        <f t="shared" si="147"/>
        <v>76.339825739380444</v>
      </c>
    </row>
    <row r="453" spans="3:28" x14ac:dyDescent="0.2">
      <c r="C453" s="61">
        <f t="shared" si="148"/>
        <v>58</v>
      </c>
      <c r="D453">
        <f t="shared" si="149"/>
        <v>1.391</v>
      </c>
      <c r="P453" s="60"/>
      <c r="Q453" s="62">
        <f t="shared" si="144"/>
        <v>58</v>
      </c>
      <c r="R453">
        <f t="shared" si="145"/>
        <v>1.3495833333333334</v>
      </c>
      <c r="S453" s="60"/>
      <c r="Z453" s="60"/>
      <c r="AA453" s="62">
        <f t="shared" si="146"/>
        <v>58</v>
      </c>
      <c r="AB453">
        <f t="shared" si="147"/>
        <v>85.175575463263272</v>
      </c>
    </row>
    <row r="454" spans="3:28" x14ac:dyDescent="0.2">
      <c r="C454" s="61">
        <f t="shared" ref="C454:C459" si="150">U428</f>
        <v>59</v>
      </c>
      <c r="D454">
        <f t="shared" ref="D454:D459" si="151">G428</f>
        <v>0.70599999999999996</v>
      </c>
      <c r="P454" s="60"/>
      <c r="Q454" s="62">
        <f t="shared" si="144"/>
        <v>59</v>
      </c>
      <c r="R454">
        <f t="shared" si="145"/>
        <v>0.6645833333333333</v>
      </c>
      <c r="S454" s="60"/>
      <c r="Z454" s="60"/>
      <c r="AA454" s="62">
        <f t="shared" si="146"/>
        <v>59</v>
      </c>
      <c r="AB454">
        <f t="shared" si="147"/>
        <v>41.943514314265173</v>
      </c>
    </row>
    <row r="455" spans="3:28" x14ac:dyDescent="0.2">
      <c r="C455" s="61">
        <f t="shared" si="150"/>
        <v>60</v>
      </c>
      <c r="D455">
        <f t="shared" si="151"/>
        <v>0.91700000000000004</v>
      </c>
      <c r="P455" s="60"/>
      <c r="Q455" s="62">
        <f t="shared" si="144"/>
        <v>60</v>
      </c>
      <c r="R455">
        <f t="shared" si="145"/>
        <v>0.87558333333333338</v>
      </c>
      <c r="S455" s="60"/>
      <c r="Z455" s="60"/>
      <c r="AA455" s="62">
        <f t="shared" si="146"/>
        <v>60</v>
      </c>
      <c r="AB455">
        <f t="shared" si="147"/>
        <v>55.260251398117141</v>
      </c>
    </row>
    <row r="456" spans="3:28" x14ac:dyDescent="0.2">
      <c r="C456" s="61">
        <f t="shared" si="150"/>
        <v>61</v>
      </c>
      <c r="D456">
        <f t="shared" si="151"/>
        <v>0.61499999999999999</v>
      </c>
      <c r="P456" s="60"/>
      <c r="Q456" s="62">
        <f t="shared" si="144"/>
        <v>61</v>
      </c>
      <c r="R456">
        <f t="shared" si="145"/>
        <v>0.57358333333333333</v>
      </c>
      <c r="S456" s="60"/>
      <c r="Z456" s="60"/>
      <c r="AA456" s="62">
        <f t="shared" si="146"/>
        <v>61</v>
      </c>
      <c r="AB456">
        <f t="shared" si="147"/>
        <v>36.20027699374134</v>
      </c>
    </row>
    <row r="457" spans="3:28" x14ac:dyDescent="0.2">
      <c r="C457" s="61">
        <f t="shared" si="150"/>
        <v>62</v>
      </c>
      <c r="D457">
        <f t="shared" si="151"/>
        <v>0.81100000000000005</v>
      </c>
      <c r="P457" s="60"/>
      <c r="Q457" s="62">
        <f t="shared" si="144"/>
        <v>62</v>
      </c>
      <c r="R457">
        <f t="shared" si="145"/>
        <v>0.7695833333333334</v>
      </c>
      <c r="S457" s="60"/>
      <c r="Z457" s="60"/>
      <c r="AA457" s="62">
        <f t="shared" si="146"/>
        <v>62</v>
      </c>
      <c r="AB457">
        <f t="shared" si="147"/>
        <v>48.5703266071773</v>
      </c>
    </row>
    <row r="458" spans="3:28" x14ac:dyDescent="0.2">
      <c r="C458" s="61">
        <f t="shared" si="150"/>
        <v>63</v>
      </c>
      <c r="D458">
        <f t="shared" si="151"/>
        <v>0.67400000000000004</v>
      </c>
      <c r="P458" s="60"/>
      <c r="Q458" s="62">
        <f t="shared" si="144"/>
        <v>63</v>
      </c>
      <c r="R458">
        <f t="shared" si="145"/>
        <v>0.63258333333333339</v>
      </c>
      <c r="S458" s="60"/>
      <c r="Z458" s="60"/>
      <c r="AA458" s="62">
        <f t="shared" si="146"/>
        <v>63</v>
      </c>
      <c r="AB458">
        <f t="shared" si="147"/>
        <v>39.923914377377677</v>
      </c>
    </row>
    <row r="459" spans="3:28" x14ac:dyDescent="0.2">
      <c r="C459" s="61">
        <f t="shared" si="150"/>
        <v>64</v>
      </c>
      <c r="D459">
        <f t="shared" si="151"/>
        <v>0.252</v>
      </c>
      <c r="P459" s="60"/>
      <c r="Q459" s="62">
        <f t="shared" si="144"/>
        <v>64</v>
      </c>
      <c r="R459">
        <f t="shared" si="145"/>
        <v>0.21058333333333334</v>
      </c>
      <c r="S459" s="60"/>
      <c r="Z459" s="60"/>
      <c r="AA459" s="62">
        <f t="shared" si="146"/>
        <v>64</v>
      </c>
      <c r="AB459">
        <f t="shared" si="147"/>
        <v>13.290440209673744</v>
      </c>
    </row>
    <row r="460" spans="3:28" x14ac:dyDescent="0.2">
      <c r="C460" s="61">
        <f t="shared" ref="C460:C465" si="152">W428</f>
        <v>65</v>
      </c>
      <c r="D460">
        <f t="shared" ref="D460:D465" si="153">I428</f>
        <v>0.46400000000000002</v>
      </c>
      <c r="P460" s="60"/>
      <c r="Q460" s="62">
        <f t="shared" si="144"/>
        <v>65</v>
      </c>
      <c r="R460">
        <f t="shared" si="145"/>
        <v>0.42258333333333337</v>
      </c>
      <c r="S460" s="60"/>
      <c r="Z460" s="60"/>
      <c r="AA460" s="62">
        <f t="shared" si="146"/>
        <v>65</v>
      </c>
      <c r="AB460">
        <f t="shared" si="147"/>
        <v>26.670289791553447</v>
      </c>
    </row>
    <row r="461" spans="3:28" x14ac:dyDescent="0.2">
      <c r="C461" s="61">
        <f t="shared" si="152"/>
        <v>66</v>
      </c>
      <c r="D461">
        <f t="shared" si="153"/>
        <v>0.59099999999999997</v>
      </c>
      <c r="P461" s="60"/>
      <c r="Q461" s="62">
        <f t="shared" si="144"/>
        <v>66</v>
      </c>
      <c r="R461">
        <f t="shared" si="145"/>
        <v>0.54958333333333331</v>
      </c>
      <c r="S461" s="60"/>
      <c r="Z461" s="60"/>
      <c r="AA461" s="62">
        <f t="shared" si="146"/>
        <v>66</v>
      </c>
      <c r="AB461">
        <f t="shared" si="147"/>
        <v>34.68557704107571</v>
      </c>
    </row>
    <row r="462" spans="3:28" x14ac:dyDescent="0.2">
      <c r="C462" s="61">
        <f t="shared" si="152"/>
        <v>67</v>
      </c>
      <c r="D462">
        <f t="shared" si="153"/>
        <v>1.2649999999999999</v>
      </c>
      <c r="P462" s="60"/>
      <c r="Q462" s="62">
        <f t="shared" si="144"/>
        <v>67</v>
      </c>
      <c r="R462">
        <f>D462-$D$437</f>
        <v>1.2235833333333332</v>
      </c>
      <c r="S462" s="60"/>
      <c r="Z462" s="60"/>
      <c r="AA462" s="62">
        <f t="shared" si="146"/>
        <v>67</v>
      </c>
      <c r="AB462">
        <f t="shared" si="147"/>
        <v>77.223400711768718</v>
      </c>
    </row>
    <row r="463" spans="3:28" x14ac:dyDescent="0.2">
      <c r="C463" s="61">
        <f t="shared" si="152"/>
        <v>68</v>
      </c>
      <c r="D463">
        <f t="shared" si="153"/>
        <v>1.294</v>
      </c>
      <c r="P463" s="60"/>
      <c r="Q463" s="62">
        <f t="shared" si="144"/>
        <v>68</v>
      </c>
      <c r="R463">
        <f t="shared" si="145"/>
        <v>1.2525833333333334</v>
      </c>
      <c r="S463" s="60"/>
      <c r="Z463" s="60"/>
      <c r="AA463" s="62">
        <f t="shared" si="146"/>
        <v>68</v>
      </c>
      <c r="AB463">
        <f t="shared" si="147"/>
        <v>79.05366315457303</v>
      </c>
    </row>
    <row r="464" spans="3:28" x14ac:dyDescent="0.2">
      <c r="C464" s="61">
        <f t="shared" si="152"/>
        <v>69</v>
      </c>
      <c r="D464">
        <f t="shared" si="153"/>
        <v>1.369</v>
      </c>
      <c r="P464" s="60"/>
      <c r="Q464" s="62">
        <f t="shared" si="144"/>
        <v>69</v>
      </c>
      <c r="R464">
        <f t="shared" si="145"/>
        <v>1.3275833333333333</v>
      </c>
      <c r="S464" s="60"/>
      <c r="Z464" s="60"/>
      <c r="AA464" s="62">
        <f t="shared" si="146"/>
        <v>69</v>
      </c>
      <c r="AB464">
        <f t="shared" si="147"/>
        <v>83.787100506653104</v>
      </c>
    </row>
    <row r="465" spans="3:28" x14ac:dyDescent="0.2">
      <c r="C465" s="61">
        <f t="shared" si="152"/>
        <v>70</v>
      </c>
      <c r="D465">
        <f t="shared" si="153"/>
        <v>1.343</v>
      </c>
      <c r="P465" s="60"/>
      <c r="Q465" s="62">
        <f t="shared" si="144"/>
        <v>70</v>
      </c>
      <c r="R465">
        <f t="shared" si="145"/>
        <v>1.3015833333333333</v>
      </c>
      <c r="S465" s="60"/>
      <c r="Z465" s="60"/>
      <c r="AA465" s="62">
        <f t="shared" si="146"/>
        <v>70</v>
      </c>
      <c r="AB465">
        <f t="shared" si="147"/>
        <v>82.146175557932011</v>
      </c>
    </row>
    <row r="466" spans="3:28" x14ac:dyDescent="0.2">
      <c r="C466" s="61">
        <f t="shared" ref="C466:C471" si="154">X428</f>
        <v>71</v>
      </c>
      <c r="D466">
        <f t="shared" ref="D466:D471" si="155">J428</f>
        <v>4.8000000000000001E-2</v>
      </c>
      <c r="P466" s="60"/>
      <c r="Q466" s="62">
        <f t="shared" si="144"/>
        <v>71</v>
      </c>
      <c r="R466">
        <f t="shared" si="145"/>
        <v>6.5833333333333299E-3</v>
      </c>
      <c r="S466" s="60"/>
      <c r="Z466" s="60"/>
      <c r="AA466" s="62">
        <f t="shared" si="146"/>
        <v>71</v>
      </c>
      <c r="AB466">
        <f t="shared" si="147"/>
        <v>0.41549061201591814</v>
      </c>
    </row>
    <row r="467" spans="3:28" x14ac:dyDescent="0.2">
      <c r="C467" s="61">
        <f t="shared" si="154"/>
        <v>72</v>
      </c>
      <c r="D467">
        <f t="shared" si="155"/>
        <v>8.8999999999999996E-2</v>
      </c>
      <c r="P467" s="60"/>
      <c r="Q467" s="62">
        <f t="shared" si="144"/>
        <v>72</v>
      </c>
      <c r="R467">
        <f t="shared" si="145"/>
        <v>4.7583333333333325E-2</v>
      </c>
      <c r="S467" s="60"/>
      <c r="Z467" s="60"/>
      <c r="AA467" s="62">
        <f t="shared" si="146"/>
        <v>72</v>
      </c>
      <c r="AB467">
        <f t="shared" si="147"/>
        <v>3.0031030311530298</v>
      </c>
    </row>
    <row r="468" spans="3:28" x14ac:dyDescent="0.2">
      <c r="C468" s="61">
        <f t="shared" si="154"/>
        <v>73</v>
      </c>
      <c r="D468">
        <f t="shared" si="155"/>
        <v>0.192</v>
      </c>
      <c r="P468" s="60"/>
      <c r="Q468" s="62">
        <f t="shared" si="144"/>
        <v>73</v>
      </c>
      <c r="R468">
        <f t="shared" si="145"/>
        <v>0.15058333333333335</v>
      </c>
      <c r="S468" s="60"/>
      <c r="Z468" s="60"/>
      <c r="AA468" s="62">
        <f t="shared" si="146"/>
        <v>73</v>
      </c>
      <c r="AB468">
        <f t="shared" si="147"/>
        <v>9.5036903280096787</v>
      </c>
    </row>
    <row r="469" spans="3:28" x14ac:dyDescent="0.2">
      <c r="C469" s="61">
        <f t="shared" si="154"/>
        <v>74</v>
      </c>
      <c r="D469">
        <f t="shared" si="155"/>
        <v>0.188</v>
      </c>
      <c r="P469" s="60"/>
      <c r="Q469" s="62">
        <f t="shared" si="144"/>
        <v>74</v>
      </c>
      <c r="R469">
        <f t="shared" si="145"/>
        <v>0.14658333333333334</v>
      </c>
      <c r="S469" s="60"/>
      <c r="Z469" s="60"/>
      <c r="AA469" s="62">
        <f t="shared" si="146"/>
        <v>74</v>
      </c>
      <c r="AB469">
        <f t="shared" si="147"/>
        <v>9.251240335898741</v>
      </c>
    </row>
    <row r="470" spans="3:28" x14ac:dyDescent="0.2">
      <c r="C470" s="61">
        <f t="shared" si="154"/>
        <v>75</v>
      </c>
      <c r="D470">
        <f t="shared" si="155"/>
        <v>0.40600000000000003</v>
      </c>
      <c r="P470" s="60"/>
      <c r="Q470" s="62">
        <f t="shared" si="144"/>
        <v>75</v>
      </c>
      <c r="R470">
        <f t="shared" si="145"/>
        <v>0.36458333333333337</v>
      </c>
      <c r="S470" s="60"/>
      <c r="Z470" s="60"/>
      <c r="AA470" s="62">
        <f t="shared" si="146"/>
        <v>75</v>
      </c>
      <c r="AB470">
        <f t="shared" si="147"/>
        <v>23.009764905944849</v>
      </c>
    </row>
    <row r="471" spans="3:28" x14ac:dyDescent="0.2">
      <c r="C471" s="61">
        <f t="shared" si="154"/>
        <v>76</v>
      </c>
      <c r="D471">
        <f t="shared" si="155"/>
        <v>0.89300000000000002</v>
      </c>
      <c r="P471" s="60"/>
      <c r="Q471" s="62">
        <f t="shared" si="144"/>
        <v>76</v>
      </c>
      <c r="R471">
        <f t="shared" si="145"/>
        <v>0.85158333333333336</v>
      </c>
      <c r="S471" s="60"/>
      <c r="Z471" s="60"/>
      <c r="AA471" s="62">
        <f t="shared" si="146"/>
        <v>76</v>
      </c>
      <c r="AB471">
        <f t="shared" si="147"/>
        <v>53.745551445451511</v>
      </c>
    </row>
    <row r="472" spans="3:28" x14ac:dyDescent="0.2">
      <c r="C472" s="61">
        <f t="shared" ref="C472:C477" si="156">Y428</f>
        <v>77</v>
      </c>
      <c r="D472">
        <f t="shared" ref="D472:D477" si="157">K428</f>
        <v>0.61</v>
      </c>
      <c r="P472" s="60"/>
      <c r="Q472" s="62">
        <f t="shared" si="144"/>
        <v>77</v>
      </c>
      <c r="R472">
        <f t="shared" si="145"/>
        <v>0.56858333333333333</v>
      </c>
      <c r="S472" s="60"/>
      <c r="Z472" s="60"/>
      <c r="AA472" s="62">
        <f t="shared" si="146"/>
        <v>77</v>
      </c>
      <c r="AB472">
        <f t="shared" si="147"/>
        <v>35.884714503602673</v>
      </c>
    </row>
    <row r="473" spans="3:28" x14ac:dyDescent="0.2">
      <c r="C473" s="61">
        <f t="shared" si="156"/>
        <v>78</v>
      </c>
      <c r="D473">
        <f t="shared" si="157"/>
        <v>0.51400000000000001</v>
      </c>
      <c r="P473" s="60"/>
      <c r="Q473" s="62">
        <f t="shared" si="144"/>
        <v>78</v>
      </c>
      <c r="R473">
        <f t="shared" si="145"/>
        <v>0.47258333333333336</v>
      </c>
      <c r="S473" s="60"/>
      <c r="Z473" s="60"/>
      <c r="AA473" s="62">
        <f t="shared" si="146"/>
        <v>78</v>
      </c>
      <c r="AB473">
        <f t="shared" si="147"/>
        <v>29.825914692940163</v>
      </c>
    </row>
    <row r="474" spans="3:28" x14ac:dyDescent="0.2">
      <c r="C474" s="61">
        <f t="shared" si="156"/>
        <v>79</v>
      </c>
      <c r="D474">
        <f t="shared" si="157"/>
        <v>1.1140000000000001</v>
      </c>
      <c r="P474" s="60"/>
      <c r="Q474" s="62">
        <f t="shared" si="144"/>
        <v>79</v>
      </c>
      <c r="R474">
        <f t="shared" si="145"/>
        <v>1.0725833333333334</v>
      </c>
      <c r="S474" s="60"/>
      <c r="Z474" s="60"/>
      <c r="AA474" s="62">
        <f t="shared" si="146"/>
        <v>79</v>
      </c>
      <c r="AB474">
        <f t="shared" si="147"/>
        <v>67.693413509580836</v>
      </c>
    </row>
    <row r="475" spans="3:28" x14ac:dyDescent="0.2">
      <c r="C475" s="61">
        <f t="shared" si="156"/>
        <v>80</v>
      </c>
      <c r="D475">
        <f t="shared" si="157"/>
        <v>1.056</v>
      </c>
      <c r="P475" s="60"/>
      <c r="Q475" s="62">
        <f t="shared" si="144"/>
        <v>80</v>
      </c>
      <c r="R475">
        <f t="shared" si="145"/>
        <v>1.0145833333333334</v>
      </c>
      <c r="S475" s="60"/>
      <c r="Z475" s="60"/>
      <c r="AA475" s="62">
        <f t="shared" si="146"/>
        <v>80</v>
      </c>
      <c r="AB475">
        <f t="shared" si="147"/>
        <v>64.032888623972241</v>
      </c>
    </row>
    <row r="476" spans="3:28" x14ac:dyDescent="0.2">
      <c r="C476" s="61">
        <f t="shared" si="156"/>
        <v>81</v>
      </c>
      <c r="D476">
        <f t="shared" si="157"/>
        <v>1.167</v>
      </c>
      <c r="P476" s="60"/>
      <c r="Q476" s="62">
        <f t="shared" si="144"/>
        <v>81</v>
      </c>
      <c r="R476">
        <f t="shared" si="145"/>
        <v>1.1255833333333334</v>
      </c>
      <c r="S476" s="60"/>
      <c r="Z476" s="60"/>
      <c r="AA476" s="62">
        <f t="shared" si="146"/>
        <v>81</v>
      </c>
      <c r="AB476">
        <f t="shared" si="147"/>
        <v>71.038375905050756</v>
      </c>
    </row>
    <row r="477" spans="3:28" x14ac:dyDescent="0.2">
      <c r="C477" s="61">
        <f t="shared" si="156"/>
        <v>82</v>
      </c>
      <c r="D477">
        <f t="shared" si="157"/>
        <v>1.097</v>
      </c>
      <c r="P477" s="60"/>
      <c r="Q477" s="62">
        <f t="shared" si="144"/>
        <v>82</v>
      </c>
      <c r="R477">
        <f t="shared" si="145"/>
        <v>1.0555833333333333</v>
      </c>
      <c r="S477" s="60"/>
      <c r="Z477" s="60"/>
      <c r="AA477" s="62">
        <f t="shared" si="146"/>
        <v>82</v>
      </c>
      <c r="AB477">
        <f t="shared" si="147"/>
        <v>66.620501043109343</v>
      </c>
    </row>
    <row r="478" spans="3:28" x14ac:dyDescent="0.2">
      <c r="C478" s="61">
        <f t="shared" ref="C478:C483" si="158">AA428</f>
        <v>83</v>
      </c>
      <c r="D478">
        <f t="shared" ref="D478:D483" si="159">M428</f>
        <v>0.14199999999999999</v>
      </c>
      <c r="P478" s="60"/>
      <c r="Q478" s="62">
        <f t="shared" si="144"/>
        <v>83</v>
      </c>
      <c r="R478">
        <f t="shared" si="145"/>
        <v>0.10058333333333332</v>
      </c>
      <c r="S478" s="60"/>
      <c r="Z478" s="60"/>
      <c r="AA478" s="62">
        <f t="shared" si="146"/>
        <v>83</v>
      </c>
      <c r="AB478">
        <f t="shared" si="147"/>
        <v>6.3480654266229539</v>
      </c>
    </row>
    <row r="479" spans="3:28" x14ac:dyDescent="0.2">
      <c r="C479" s="61">
        <f t="shared" si="158"/>
        <v>84</v>
      </c>
      <c r="D479">
        <f t="shared" si="159"/>
        <v>0.55300000000000005</v>
      </c>
      <c r="P479" s="60"/>
      <c r="Q479" s="62">
        <f t="shared" si="144"/>
        <v>84</v>
      </c>
      <c r="R479">
        <f t="shared" si="145"/>
        <v>0.51158333333333339</v>
      </c>
      <c r="Z479" s="60"/>
      <c r="AA479" s="62">
        <f t="shared" si="146"/>
        <v>84</v>
      </c>
      <c r="AB479">
        <f t="shared" si="147"/>
        <v>32.287302116021813</v>
      </c>
    </row>
    <row r="480" spans="3:28" x14ac:dyDescent="0.2">
      <c r="C480" s="61">
        <f t="shared" si="158"/>
        <v>85</v>
      </c>
      <c r="D480">
        <f t="shared" si="159"/>
        <v>0.43099999999999999</v>
      </c>
      <c r="P480" s="60"/>
      <c r="Q480" s="62">
        <f t="shared" si="144"/>
        <v>85</v>
      </c>
      <c r="R480">
        <f t="shared" si="145"/>
        <v>0.38958333333333334</v>
      </c>
      <c r="S480" s="58"/>
      <c r="Z480" s="60"/>
      <c r="AA480" s="62">
        <f t="shared" si="146"/>
        <v>85</v>
      </c>
      <c r="AB480">
        <f t="shared" si="147"/>
        <v>24.587577356638207</v>
      </c>
    </row>
    <row r="481" spans="3:28" x14ac:dyDescent="0.2">
      <c r="C481" s="61">
        <f t="shared" si="158"/>
        <v>86</v>
      </c>
      <c r="D481">
        <f t="shared" si="159"/>
        <v>0.25</v>
      </c>
      <c r="P481" s="60"/>
      <c r="Q481" s="62">
        <f t="shared" si="144"/>
        <v>86</v>
      </c>
      <c r="R481">
        <f t="shared" si="145"/>
        <v>0.20858333333333334</v>
      </c>
      <c r="Z481" s="60"/>
      <c r="AA481" s="62">
        <f t="shared" si="146"/>
        <v>86</v>
      </c>
      <c r="AB481">
        <f t="shared" si="147"/>
        <v>13.164215213618276</v>
      </c>
    </row>
    <row r="482" spans="3:28" x14ac:dyDescent="0.2">
      <c r="C482" s="61">
        <f t="shared" si="158"/>
        <v>87</v>
      </c>
      <c r="D482">
        <f t="shared" si="159"/>
        <v>1.1539999999999999</v>
      </c>
      <c r="P482" s="60"/>
      <c r="Q482" s="62">
        <f t="shared" si="144"/>
        <v>87</v>
      </c>
      <c r="R482">
        <f t="shared" si="145"/>
        <v>1.1125833333333333</v>
      </c>
      <c r="Z482" s="60"/>
      <c r="AA482" s="62">
        <f t="shared" si="146"/>
        <v>87</v>
      </c>
      <c r="AB482">
        <f t="shared" si="147"/>
        <v>70.217913430690203</v>
      </c>
    </row>
    <row r="483" spans="3:28" x14ac:dyDescent="0.2">
      <c r="C483" s="61">
        <f t="shared" si="158"/>
        <v>88</v>
      </c>
      <c r="D483">
        <f t="shared" si="159"/>
        <v>1.222</v>
      </c>
      <c r="P483" s="60"/>
      <c r="Q483" s="62">
        <f t="shared" si="144"/>
        <v>88</v>
      </c>
      <c r="R483">
        <f t="shared" si="145"/>
        <v>1.1805833333333333</v>
      </c>
      <c r="Z483" s="60"/>
      <c r="AA483" s="62">
        <f t="shared" si="146"/>
        <v>88</v>
      </c>
      <c r="AB483">
        <f>R483*100/$AF$438</f>
        <v>74.509563296576147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8FEA-5BDD-FD4D-A2AB-DFA858C01AC6}">
  <dimension ref="A1:AA80"/>
  <sheetViews>
    <sheetView tabSelected="1" topLeftCell="I1" zoomScale="93" workbookViewId="0">
      <selection activeCell="Y16" sqref="Y16"/>
    </sheetView>
  </sheetViews>
  <sheetFormatPr baseColWidth="10" defaultRowHeight="16" x14ac:dyDescent="0.2"/>
  <cols>
    <col min="1" max="1" width="14.33203125" style="78" customWidth="1"/>
    <col min="2" max="9" width="10.83203125" style="78"/>
    <col min="10" max="15" width="13.6640625" style="78" bestFit="1" customWidth="1"/>
    <col min="16" max="16" width="13.33203125" style="78" bestFit="1" customWidth="1"/>
    <col min="17" max="17" width="13.6640625" style="78" bestFit="1" customWidth="1"/>
    <col min="18" max="20" width="10.83203125" style="78"/>
    <col min="21" max="21" width="13.1640625" style="78" bestFit="1" customWidth="1"/>
    <col min="22" max="22" width="10.83203125" style="78"/>
    <col min="23" max="23" width="15.6640625" style="78" bestFit="1" customWidth="1"/>
    <col min="24" max="24" width="17.5" style="78" bestFit="1" customWidth="1"/>
    <col min="25" max="25" width="25.1640625" style="78" bestFit="1" customWidth="1"/>
    <col min="26" max="26" width="17.83203125" style="78" bestFit="1" customWidth="1"/>
    <col min="27" max="27" width="29" style="78" bestFit="1" customWidth="1"/>
    <col min="28" max="28" width="10.83203125" style="78"/>
    <col min="29" max="29" width="25.1640625" style="78" bestFit="1" customWidth="1"/>
    <col min="30" max="31" width="29" style="78" bestFit="1" customWidth="1"/>
    <col min="32" max="32" width="18.5" style="78" bestFit="1" customWidth="1"/>
    <col min="33" max="33" width="19.5" style="78" bestFit="1" customWidth="1"/>
    <col min="34" max="16384" width="10.83203125" style="78"/>
  </cols>
  <sheetData>
    <row r="1" spans="1:27" x14ac:dyDescent="0.2">
      <c r="A1" s="77" t="s">
        <v>64</v>
      </c>
      <c r="B1" s="77">
        <v>13.682267347160387</v>
      </c>
      <c r="C1" s="77">
        <v>14.079098937667991</v>
      </c>
      <c r="D1" s="77">
        <v>17.883035282745286</v>
      </c>
      <c r="E1" s="77">
        <v>13.668024707583125</v>
      </c>
      <c r="R1" s="152" t="s">
        <v>70</v>
      </c>
      <c r="S1" s="152"/>
      <c r="T1" s="152"/>
      <c r="U1" s="152"/>
      <c r="V1" s="152"/>
      <c r="W1" s="152"/>
      <c r="X1" s="152"/>
    </row>
    <row r="2" spans="1:27" ht="17" thickBot="1" x14ac:dyDescent="0.25">
      <c r="A2" s="153" t="s">
        <v>65</v>
      </c>
      <c r="B2" s="154"/>
      <c r="C2" s="154"/>
      <c r="D2" s="154"/>
      <c r="E2" s="154"/>
      <c r="F2" s="154"/>
      <c r="G2" s="154"/>
      <c r="H2" s="154"/>
      <c r="J2" s="162" t="s">
        <v>87</v>
      </c>
      <c r="K2" s="162"/>
      <c r="L2" s="162" t="s">
        <v>138</v>
      </c>
      <c r="M2" s="162"/>
      <c r="N2" s="162"/>
      <c r="Q2" s="162" t="s">
        <v>87</v>
      </c>
      <c r="R2" s="162"/>
      <c r="S2" s="145" t="s">
        <v>135</v>
      </c>
      <c r="T2" s="146"/>
      <c r="U2" s="147"/>
    </row>
    <row r="3" spans="1:27" ht="17" thickBot="1" x14ac:dyDescent="0.25">
      <c r="A3" s="79"/>
      <c r="B3" s="155" t="s">
        <v>55</v>
      </c>
      <c r="C3" s="156"/>
      <c r="D3" s="156"/>
      <c r="E3" s="156"/>
      <c r="F3" s="90"/>
      <c r="G3" s="124"/>
      <c r="H3" s="125"/>
      <c r="J3" s="157" t="s">
        <v>66</v>
      </c>
      <c r="K3" s="158"/>
      <c r="L3" s="158"/>
      <c r="M3" s="158"/>
      <c r="N3" s="158"/>
      <c r="O3" s="158"/>
      <c r="P3" s="76"/>
      <c r="Q3" s="76"/>
      <c r="T3" s="159" t="s">
        <v>71</v>
      </c>
      <c r="U3" s="160"/>
      <c r="V3" s="160"/>
      <c r="W3" s="160"/>
      <c r="X3" s="160"/>
      <c r="Y3" s="160"/>
      <c r="Z3" s="160"/>
      <c r="AA3" s="161"/>
    </row>
    <row r="4" spans="1:27" ht="34" x14ac:dyDescent="0.2">
      <c r="A4" s="80" t="s">
        <v>56</v>
      </c>
      <c r="B4" s="128" t="s">
        <v>130</v>
      </c>
      <c r="C4" s="81" t="s">
        <v>57</v>
      </c>
      <c r="D4" s="81" t="s">
        <v>58</v>
      </c>
      <c r="E4" s="81" t="s">
        <v>59</v>
      </c>
      <c r="F4" s="129" t="s">
        <v>60</v>
      </c>
      <c r="G4" s="129" t="s">
        <v>61</v>
      </c>
      <c r="H4" s="130" t="s">
        <v>62</v>
      </c>
      <c r="I4" s="82" t="s">
        <v>63</v>
      </c>
      <c r="J4" s="42" t="s">
        <v>132</v>
      </c>
      <c r="K4" s="42" t="s">
        <v>133</v>
      </c>
      <c r="L4" s="42" t="s">
        <v>134</v>
      </c>
      <c r="M4" s="42" t="s">
        <v>136</v>
      </c>
      <c r="N4" s="42" t="s">
        <v>137</v>
      </c>
      <c r="Q4" s="83" t="s">
        <v>139</v>
      </c>
      <c r="R4" s="83" t="s">
        <v>133</v>
      </c>
      <c r="S4" s="42" t="s">
        <v>134</v>
      </c>
      <c r="T4" s="42" t="s">
        <v>136</v>
      </c>
      <c r="U4" s="42" t="s">
        <v>137</v>
      </c>
      <c r="V4" s="131" t="s">
        <v>50</v>
      </c>
      <c r="W4" s="123" t="s">
        <v>140</v>
      </c>
      <c r="X4" s="122" t="s">
        <v>85</v>
      </c>
      <c r="Y4" s="42" t="s">
        <v>141</v>
      </c>
    </row>
    <row r="5" spans="1:27" ht="17" x14ac:dyDescent="0.2">
      <c r="A5" s="63" t="s">
        <v>88</v>
      </c>
      <c r="B5" s="84">
        <v>4.5</v>
      </c>
      <c r="C5" s="85">
        <v>0</v>
      </c>
      <c r="D5" s="85">
        <v>0</v>
      </c>
      <c r="E5" s="86">
        <v>0</v>
      </c>
      <c r="F5" s="85">
        <v>0</v>
      </c>
      <c r="G5" s="85">
        <v>0</v>
      </c>
      <c r="H5" s="87">
        <v>1</v>
      </c>
      <c r="I5" s="88">
        <f>SUM(B5:H5)</f>
        <v>5.5</v>
      </c>
      <c r="J5" s="42">
        <v>0.68758333333333332</v>
      </c>
      <c r="K5" s="42">
        <v>0.60447222222222219</v>
      </c>
      <c r="L5" s="42">
        <v>0.31080555555555556</v>
      </c>
      <c r="M5" s="42">
        <v>0.31969444444444445</v>
      </c>
      <c r="N5" s="42">
        <v>0.37113888888888902</v>
      </c>
      <c r="Q5" s="42">
        <f t="shared" ref="Q5:Q46" si="0">(J5/$B$74)*100</f>
        <v>43.395101768903068</v>
      </c>
      <c r="R5" s="42">
        <f t="shared" ref="R5:R46" si="1">(K5/$D$74)*100</f>
        <v>40.0659142378436</v>
      </c>
      <c r="S5" s="42">
        <f t="shared" ref="S5:S46" si="2">(L5/$F$74)*100</f>
        <v>29.079709956597455</v>
      </c>
      <c r="T5" s="42">
        <f t="shared" ref="T5:T46" si="3">(M5/$H$74)*100</f>
        <v>27.788106333148228</v>
      </c>
      <c r="U5" s="42">
        <f t="shared" ref="U5:U46" si="4">(N5/$J$74)*100</f>
        <v>33.613424237087735</v>
      </c>
      <c r="V5" s="42">
        <f>STDEV(Q5:U5)</f>
        <v>6.7989207476914668</v>
      </c>
      <c r="W5" s="126">
        <f>AVERAGE(Q5:U5)</f>
        <v>34.78845130671602</v>
      </c>
      <c r="X5" s="127">
        <v>38.788020986035903</v>
      </c>
      <c r="Y5" s="69">
        <f>ABS(X5-W5)</f>
        <v>3.9995696793198832</v>
      </c>
    </row>
    <row r="6" spans="1:27" ht="17" x14ac:dyDescent="0.2">
      <c r="A6" s="63" t="s">
        <v>89</v>
      </c>
      <c r="B6" s="84">
        <v>0</v>
      </c>
      <c r="C6" s="85">
        <v>2.5</v>
      </c>
      <c r="D6" s="85">
        <v>3.5</v>
      </c>
      <c r="E6" s="85">
        <v>0</v>
      </c>
      <c r="F6" s="85">
        <v>0</v>
      </c>
      <c r="G6" s="85">
        <v>0</v>
      </c>
      <c r="H6" s="87">
        <v>0</v>
      </c>
      <c r="I6" s="88">
        <f>SUM(B6:H6)</f>
        <v>6</v>
      </c>
      <c r="J6" s="42">
        <v>0.71458333333333335</v>
      </c>
      <c r="K6" s="42">
        <v>0.76947222222222222</v>
      </c>
      <c r="L6" s="42">
        <v>0.44080555555555556</v>
      </c>
      <c r="M6" s="42">
        <v>0.46569444444444447</v>
      </c>
      <c r="N6" s="42">
        <v>0.27713888888888888</v>
      </c>
      <c r="Q6" s="42">
        <f t="shared" si="0"/>
        <v>45.099139215651903</v>
      </c>
      <c r="R6" s="42">
        <f t="shared" si="1"/>
        <v>51.002522416364407</v>
      </c>
      <c r="S6" s="42">
        <f t="shared" si="2"/>
        <v>41.242820386204755</v>
      </c>
      <c r="T6" s="42">
        <f t="shared" si="3"/>
        <v>40.478547456358505</v>
      </c>
      <c r="U6" s="42">
        <f t="shared" si="4"/>
        <v>25.100002515786557</v>
      </c>
      <c r="V6" s="42">
        <f t="shared" ref="V6:V46" si="5">STDEV(Q6:U6)</f>
        <v>9.6063967265278016</v>
      </c>
      <c r="W6" s="126">
        <f t="shared" ref="W6:W46" si="6">AVERAGE(Q6:U6)</f>
        <v>40.584606398073234</v>
      </c>
      <c r="X6" s="127">
        <v>36.713272612577263</v>
      </c>
      <c r="Y6" s="69">
        <f t="shared" ref="Y6:Y46" si="7">ABS(X6-W6)</f>
        <v>3.8713337854959704</v>
      </c>
    </row>
    <row r="7" spans="1:27" ht="17" x14ac:dyDescent="0.2">
      <c r="A7" s="63" t="s">
        <v>90</v>
      </c>
      <c r="B7" s="84">
        <v>0</v>
      </c>
      <c r="C7" s="85">
        <v>0</v>
      </c>
      <c r="D7" s="85">
        <v>4</v>
      </c>
      <c r="E7" s="85">
        <v>0</v>
      </c>
      <c r="F7" s="85">
        <v>0</v>
      </c>
      <c r="G7" s="85">
        <v>0</v>
      </c>
      <c r="H7" s="87">
        <v>2</v>
      </c>
      <c r="I7" s="88">
        <f t="shared" ref="I7:I46" si="8">SUM(B7:H7)</f>
        <v>6</v>
      </c>
      <c r="J7" s="42">
        <v>0.72558333333333336</v>
      </c>
      <c r="K7" s="42">
        <v>0.72047222222222218</v>
      </c>
      <c r="L7" s="42">
        <v>0.60180555555555559</v>
      </c>
      <c r="M7" s="42">
        <v>0.63369444444444445</v>
      </c>
      <c r="N7" s="42">
        <v>0.60313888888888889</v>
      </c>
      <c r="Q7" s="42">
        <f t="shared" si="0"/>
        <v>45.793376693956979</v>
      </c>
      <c r="R7" s="42">
        <f t="shared" si="1"/>
        <v>47.75468119971277</v>
      </c>
      <c r="S7" s="42">
        <f t="shared" si="2"/>
        <v>56.306364841333803</v>
      </c>
      <c r="T7" s="42">
        <f t="shared" si="3"/>
        <v>55.08124683101142</v>
      </c>
      <c r="U7" s="42">
        <f t="shared" si="4"/>
        <v>54.625273591788471</v>
      </c>
      <c r="V7" s="42">
        <f>STDEV(Q7:U7)</f>
        <v>4.7811419140485789</v>
      </c>
      <c r="W7" s="126">
        <f t="shared" si="6"/>
        <v>51.912188631560682</v>
      </c>
      <c r="X7" s="127">
        <v>38.74710599424624</v>
      </c>
      <c r="Y7" s="69">
        <f t="shared" si="7"/>
        <v>13.165082637314441</v>
      </c>
    </row>
    <row r="8" spans="1:27" ht="17" x14ac:dyDescent="0.2">
      <c r="A8" s="63" t="s">
        <v>91</v>
      </c>
      <c r="B8" s="84">
        <v>3</v>
      </c>
      <c r="C8" s="85">
        <v>0</v>
      </c>
      <c r="D8" s="85">
        <v>0</v>
      </c>
      <c r="E8" s="85">
        <v>2.5</v>
      </c>
      <c r="F8" s="85">
        <v>0</v>
      </c>
      <c r="G8" s="85">
        <v>0</v>
      </c>
      <c r="H8" s="87">
        <v>0</v>
      </c>
      <c r="I8" s="88">
        <f t="shared" si="8"/>
        <v>5.5</v>
      </c>
      <c r="J8" s="42">
        <v>0.76558333333333339</v>
      </c>
      <c r="K8" s="42">
        <v>0.77247222222222212</v>
      </c>
      <c r="L8" s="42">
        <v>0.54480555555555554</v>
      </c>
      <c r="M8" s="42">
        <v>0.47569444444444448</v>
      </c>
      <c r="N8" s="42">
        <v>0.53513888888888883</v>
      </c>
      <c r="Q8" s="42">
        <f t="shared" si="0"/>
        <v>48.317876615066361</v>
      </c>
      <c r="R8" s="42">
        <f t="shared" si="1"/>
        <v>51.201369837792043</v>
      </c>
      <c r="S8" s="42">
        <f t="shared" si="2"/>
        <v>50.973308729890597</v>
      </c>
      <c r="T8" s="42">
        <f t="shared" si="3"/>
        <v>41.3477557524688</v>
      </c>
      <c r="U8" s="42">
        <f t="shared" si="4"/>
        <v>48.466628091272732</v>
      </c>
      <c r="V8" s="42">
        <f t="shared" si="5"/>
        <v>3.9887852842423888</v>
      </c>
      <c r="W8" s="126">
        <f t="shared" si="6"/>
        <v>48.061387805298104</v>
      </c>
      <c r="X8" s="127">
        <v>37.359065108749647</v>
      </c>
      <c r="Y8" s="69">
        <f t="shared" si="7"/>
        <v>10.702322696548457</v>
      </c>
    </row>
    <row r="9" spans="1:27" ht="17" x14ac:dyDescent="0.2">
      <c r="A9" s="63" t="s">
        <v>92</v>
      </c>
      <c r="B9" s="84">
        <v>5.5</v>
      </c>
      <c r="C9" s="85">
        <v>0</v>
      </c>
      <c r="D9" s="85">
        <v>0</v>
      </c>
      <c r="E9" s="85">
        <v>0</v>
      </c>
      <c r="F9" s="85">
        <v>0</v>
      </c>
      <c r="G9" s="85">
        <v>0</v>
      </c>
      <c r="H9" s="88">
        <v>0.5</v>
      </c>
      <c r="I9" s="88">
        <f t="shared" si="8"/>
        <v>6</v>
      </c>
      <c r="J9" s="42">
        <v>0.18558333333333332</v>
      </c>
      <c r="K9" s="42">
        <v>0.17447222222222222</v>
      </c>
      <c r="L9" s="42">
        <v>2.9805555555555543E-2</v>
      </c>
      <c r="M9" s="42">
        <v>3.0694444444444448E-2</v>
      </c>
      <c r="N9" s="42">
        <v>4.7138888888888883E-2</v>
      </c>
      <c r="Q9" s="42">
        <f t="shared" si="0"/>
        <v>11.712627758980382</v>
      </c>
      <c r="R9" s="42">
        <f t="shared" si="1"/>
        <v>11.564450499880323</v>
      </c>
      <c r="S9" s="42">
        <f t="shared" si="2"/>
        <v>2.7886789510616725</v>
      </c>
      <c r="T9" s="42">
        <f t="shared" si="3"/>
        <v>2.6679865755607604</v>
      </c>
      <c r="U9" s="42">
        <f t="shared" si="4"/>
        <v>4.2692897934539227</v>
      </c>
      <c r="V9" s="42">
        <f t="shared" si="5"/>
        <v>4.6423010808780827</v>
      </c>
      <c r="W9" s="126">
        <f t="shared" si="6"/>
        <v>6.6006067157874124</v>
      </c>
      <c r="X9" s="127">
        <v>9.9403089774472697</v>
      </c>
      <c r="Y9" s="69">
        <f t="shared" si="7"/>
        <v>3.3397022616598573</v>
      </c>
    </row>
    <row r="10" spans="1:27" ht="17" x14ac:dyDescent="0.2">
      <c r="A10" s="63" t="s">
        <v>93</v>
      </c>
      <c r="B10" s="84">
        <v>0</v>
      </c>
      <c r="C10" s="85">
        <v>5.5</v>
      </c>
      <c r="D10" s="85">
        <v>0</v>
      </c>
      <c r="E10" s="85">
        <v>0</v>
      </c>
      <c r="F10" s="85">
        <v>0</v>
      </c>
      <c r="G10" s="85">
        <v>0</v>
      </c>
      <c r="H10" s="88">
        <v>0</v>
      </c>
      <c r="I10" s="88">
        <f t="shared" si="8"/>
        <v>5.5</v>
      </c>
      <c r="J10" s="42">
        <v>1.6583333333333332E-2</v>
      </c>
      <c r="K10" s="42">
        <v>2.4472222222222222E-2</v>
      </c>
      <c r="L10" s="42">
        <v>4.8805555555555546E-2</v>
      </c>
      <c r="M10" s="42">
        <v>3.8694444444444455E-2</v>
      </c>
      <c r="N10" s="42">
        <v>6.3138888888888883E-2</v>
      </c>
      <c r="Q10" s="42">
        <f t="shared" si="0"/>
        <v>1.0466155922932625</v>
      </c>
      <c r="R10" s="42">
        <f t="shared" si="1"/>
        <v>1.6220794284977813</v>
      </c>
      <c r="S10" s="42">
        <f t="shared" si="2"/>
        <v>4.5663643215427401</v>
      </c>
      <c r="T10" s="42">
        <f t="shared" si="3"/>
        <v>3.3633532124489953</v>
      </c>
      <c r="U10" s="42">
        <f t="shared" si="4"/>
        <v>5.7183828523988014</v>
      </c>
      <c r="V10" s="42">
        <f t="shared" si="5"/>
        <v>1.9584888175440789</v>
      </c>
      <c r="W10" s="126">
        <f t="shared" si="6"/>
        <v>3.2633590814363158</v>
      </c>
      <c r="X10" s="127">
        <v>8.576115294224115</v>
      </c>
      <c r="Y10" s="69">
        <f t="shared" si="7"/>
        <v>5.3127562127877992</v>
      </c>
    </row>
    <row r="11" spans="1:27" ht="17" x14ac:dyDescent="0.2">
      <c r="A11" s="63" t="s">
        <v>94</v>
      </c>
      <c r="B11" s="89">
        <v>2</v>
      </c>
      <c r="C11" s="74">
        <v>0</v>
      </c>
      <c r="D11" s="74">
        <v>0</v>
      </c>
      <c r="E11" s="90">
        <v>0</v>
      </c>
      <c r="F11" s="74">
        <v>0</v>
      </c>
      <c r="G11" s="74">
        <v>0</v>
      </c>
      <c r="H11" s="91">
        <v>4</v>
      </c>
      <c r="I11" s="88">
        <f t="shared" si="8"/>
        <v>6</v>
      </c>
      <c r="J11" s="42">
        <v>6.6583333333333328E-2</v>
      </c>
      <c r="K11" s="42">
        <v>3.2472222222222215E-2</v>
      </c>
      <c r="L11" s="42">
        <v>1.8805555555555548E-2</v>
      </c>
      <c r="M11" s="42">
        <v>3.1694444444444449E-2</v>
      </c>
      <c r="N11" s="42">
        <v>1.6138888888888883E-2</v>
      </c>
      <c r="Q11" s="42">
        <f t="shared" si="0"/>
        <v>4.2022404936799838</v>
      </c>
      <c r="R11" s="42">
        <f t="shared" si="1"/>
        <v>2.152339218971516</v>
      </c>
      <c r="S11" s="42">
        <f t="shared" si="2"/>
        <v>1.7594926839410552</v>
      </c>
      <c r="T11" s="42">
        <f t="shared" si="3"/>
        <v>2.7549074051717901</v>
      </c>
      <c r="U11" s="42">
        <f t="shared" si="4"/>
        <v>1.4616719917482195</v>
      </c>
      <c r="V11" s="42">
        <f t="shared" si="5"/>
        <v>1.0844594133771728</v>
      </c>
      <c r="W11" s="126">
        <f t="shared" si="6"/>
        <v>2.4661303587025132</v>
      </c>
      <c r="X11" s="127">
        <v>10.301887091667339</v>
      </c>
      <c r="Y11" s="69">
        <f t="shared" si="7"/>
        <v>7.8357567329648266</v>
      </c>
    </row>
    <row r="12" spans="1:27" ht="17" x14ac:dyDescent="0.2">
      <c r="A12" s="63" t="s">
        <v>95</v>
      </c>
      <c r="B12" s="89">
        <v>0</v>
      </c>
      <c r="C12" s="74">
        <v>3</v>
      </c>
      <c r="D12" s="74">
        <v>0</v>
      </c>
      <c r="E12" s="90">
        <v>0</v>
      </c>
      <c r="F12" s="74">
        <v>0</v>
      </c>
      <c r="G12" s="74">
        <v>0</v>
      </c>
      <c r="H12" s="91">
        <v>3</v>
      </c>
      <c r="I12" s="88">
        <f t="shared" si="8"/>
        <v>6</v>
      </c>
      <c r="J12" s="42">
        <v>0.17158333333333331</v>
      </c>
      <c r="K12" s="42">
        <v>0.22547222222222224</v>
      </c>
      <c r="L12" s="42">
        <v>9.8805555555555535E-2</v>
      </c>
      <c r="M12" s="42">
        <v>8.1694444444444458E-2</v>
      </c>
      <c r="N12" s="42">
        <v>0.10813888888888888</v>
      </c>
      <c r="Q12" s="42">
        <f t="shared" si="0"/>
        <v>10.829052786592099</v>
      </c>
      <c r="R12" s="42">
        <f t="shared" si="1"/>
        <v>14.944856664150388</v>
      </c>
      <c r="S12" s="42">
        <f t="shared" si="2"/>
        <v>9.2444837175455472</v>
      </c>
      <c r="T12" s="42">
        <f t="shared" si="3"/>
        <v>7.1009488857232554</v>
      </c>
      <c r="U12" s="42">
        <f t="shared" si="4"/>
        <v>9.7939570806812739</v>
      </c>
      <c r="V12" s="42">
        <f t="shared" si="5"/>
        <v>2.8906984076962217</v>
      </c>
      <c r="W12" s="126">
        <f t="shared" si="6"/>
        <v>10.382659826938513</v>
      </c>
      <c r="X12" s="127">
        <v>9.0231887406846525</v>
      </c>
      <c r="Y12" s="69">
        <f t="shared" si="7"/>
        <v>1.3594710862538602</v>
      </c>
    </row>
    <row r="13" spans="1:27" ht="17" x14ac:dyDescent="0.2">
      <c r="A13" s="63" t="s">
        <v>96</v>
      </c>
      <c r="B13" s="89">
        <v>0</v>
      </c>
      <c r="C13" s="74">
        <v>0</v>
      </c>
      <c r="D13" s="74">
        <v>4</v>
      </c>
      <c r="E13" s="90">
        <v>0.5</v>
      </c>
      <c r="F13" s="74">
        <v>0</v>
      </c>
      <c r="G13" s="74">
        <v>0</v>
      </c>
      <c r="H13" s="91">
        <v>1</v>
      </c>
      <c r="I13" s="88">
        <f t="shared" si="8"/>
        <v>5.5</v>
      </c>
      <c r="J13" s="42">
        <v>1.0255833333333333</v>
      </c>
      <c r="K13" s="42">
        <v>1.0484722222222222</v>
      </c>
      <c r="L13" s="42">
        <v>0.67580555555555555</v>
      </c>
      <c r="M13" s="42">
        <v>0.75069444444444444</v>
      </c>
      <c r="N13" s="42">
        <v>0.66213888888888883</v>
      </c>
      <c r="Q13" s="42">
        <f t="shared" si="0"/>
        <v>64.727126102277296</v>
      </c>
      <c r="R13" s="42">
        <f t="shared" si="1"/>
        <v>69.495332609135929</v>
      </c>
      <c r="S13" s="42">
        <f t="shared" si="2"/>
        <v>63.22998154741795</v>
      </c>
      <c r="T13" s="42">
        <f t="shared" si="3"/>
        <v>65.250983895501861</v>
      </c>
      <c r="U13" s="42">
        <f t="shared" si="4"/>
        <v>59.9688042466477</v>
      </c>
      <c r="V13" s="42">
        <f t="shared" si="5"/>
        <v>3.4535366023183949</v>
      </c>
      <c r="W13" s="126">
        <f t="shared" si="6"/>
        <v>64.534445680196157</v>
      </c>
      <c r="X13" s="127">
        <v>62.078101200266609</v>
      </c>
      <c r="Y13" s="69">
        <f t="shared" si="7"/>
        <v>2.4563444799295482</v>
      </c>
    </row>
    <row r="14" spans="1:27" ht="17" x14ac:dyDescent="0.2">
      <c r="A14" s="63" t="s">
        <v>97</v>
      </c>
      <c r="B14" s="89">
        <v>1.5</v>
      </c>
      <c r="C14" s="74">
        <v>0</v>
      </c>
      <c r="D14" s="74">
        <v>3.5</v>
      </c>
      <c r="E14" s="90">
        <v>0</v>
      </c>
      <c r="F14" s="74">
        <v>0</v>
      </c>
      <c r="G14" s="74">
        <v>0.5</v>
      </c>
      <c r="H14" s="91">
        <v>0</v>
      </c>
      <c r="I14" s="88">
        <f>SUM(B14:H14)</f>
        <v>5.5</v>
      </c>
      <c r="J14" s="42">
        <v>1.1395833333333334</v>
      </c>
      <c r="K14" s="42">
        <v>1.1174722222222222</v>
      </c>
      <c r="L14" s="42">
        <v>0.7348055555555556</v>
      </c>
      <c r="M14" s="42">
        <v>0.75669444444444445</v>
      </c>
      <c r="N14" s="42">
        <v>0.72613888888888889</v>
      </c>
      <c r="Q14" s="42">
        <f t="shared" si="0"/>
        <v>71.921950877439031</v>
      </c>
      <c r="R14" s="42">
        <f t="shared" si="1"/>
        <v>74.068823301971904</v>
      </c>
      <c r="S14" s="42">
        <f t="shared" si="2"/>
        <v>68.750162434701267</v>
      </c>
      <c r="T14" s="42">
        <f t="shared" si="3"/>
        <v>65.772508873168036</v>
      </c>
      <c r="U14" s="42">
        <f t="shared" si="4"/>
        <v>65.765176482427222</v>
      </c>
      <c r="V14" s="42">
        <f t="shared" si="5"/>
        <v>3.7029377776689598</v>
      </c>
      <c r="W14" s="126">
        <f t="shared" si="6"/>
        <v>69.255724393941506</v>
      </c>
      <c r="X14" s="127">
        <v>69.525557362985339</v>
      </c>
      <c r="Y14" s="69">
        <f t="shared" si="7"/>
        <v>0.2698329690438328</v>
      </c>
    </row>
    <row r="15" spans="1:27" ht="17" x14ac:dyDescent="0.2">
      <c r="A15" s="63" t="s">
        <v>98</v>
      </c>
      <c r="B15" s="89">
        <v>0</v>
      </c>
      <c r="C15" s="74">
        <v>0</v>
      </c>
      <c r="D15" s="74">
        <v>3.5</v>
      </c>
      <c r="E15" s="90">
        <v>0</v>
      </c>
      <c r="F15" s="74">
        <v>0</v>
      </c>
      <c r="G15" s="74">
        <v>1.5</v>
      </c>
      <c r="H15" s="91">
        <v>0</v>
      </c>
      <c r="I15" s="88">
        <f t="shared" si="8"/>
        <v>5</v>
      </c>
      <c r="J15" s="42">
        <v>1.2095833333333332</v>
      </c>
      <c r="K15" s="42">
        <v>1.0604722222222223</v>
      </c>
      <c r="L15" s="42">
        <v>0.64080555555555563</v>
      </c>
      <c r="M15" s="42">
        <v>0.59269444444444441</v>
      </c>
      <c r="N15" s="42">
        <v>0.56713888888888886</v>
      </c>
      <c r="Q15" s="42">
        <f t="shared" si="0"/>
        <v>76.339825739380444</v>
      </c>
      <c r="R15" s="42">
        <f t="shared" si="1"/>
        <v>70.290722294846532</v>
      </c>
      <c r="S15" s="42">
        <f t="shared" si="2"/>
        <v>59.955297970215994</v>
      </c>
      <c r="T15" s="42">
        <f t="shared" si="3"/>
        <v>51.517492816959219</v>
      </c>
      <c r="U15" s="42">
        <f t="shared" si="4"/>
        <v>51.364814209162489</v>
      </c>
      <c r="V15" s="42">
        <f t="shared" si="5"/>
        <v>11.196886243561451</v>
      </c>
      <c r="W15" s="126">
        <f t="shared" si="6"/>
        <v>61.893630606112936</v>
      </c>
      <c r="X15" s="127">
        <v>67.907725850403807</v>
      </c>
      <c r="Y15" s="69">
        <f t="shared" si="7"/>
        <v>6.0140952442908713</v>
      </c>
    </row>
    <row r="16" spans="1:27" ht="17" x14ac:dyDescent="0.2">
      <c r="A16" s="63" t="s">
        <v>99</v>
      </c>
      <c r="B16" s="89">
        <v>0</v>
      </c>
      <c r="C16" s="74">
        <v>0</v>
      </c>
      <c r="D16" s="74">
        <v>3.5</v>
      </c>
      <c r="E16" s="90">
        <v>0</v>
      </c>
      <c r="F16" s="74">
        <v>1.5</v>
      </c>
      <c r="G16" s="74">
        <v>0</v>
      </c>
      <c r="H16" s="91">
        <v>0</v>
      </c>
      <c r="I16" s="88">
        <f t="shared" si="8"/>
        <v>5</v>
      </c>
      <c r="J16" s="42">
        <v>1.3495833333333334</v>
      </c>
      <c r="K16" s="42">
        <v>1.3124722222222223</v>
      </c>
      <c r="L16" s="42">
        <v>0.88780555555555563</v>
      </c>
      <c r="M16" s="42">
        <v>0.93769444444444439</v>
      </c>
      <c r="N16" s="42">
        <v>0.90413888888888883</v>
      </c>
      <c r="Q16" s="42">
        <f t="shared" si="0"/>
        <v>85.175575463263272</v>
      </c>
      <c r="R16" s="42">
        <f t="shared" si="1"/>
        <v>86.993905694769197</v>
      </c>
      <c r="S16" s="42">
        <f t="shared" si="2"/>
        <v>83.06520778646987</v>
      </c>
      <c r="T16" s="42">
        <f t="shared" si="3"/>
        <v>81.505179032764332</v>
      </c>
      <c r="U16" s="42">
        <f t="shared" si="4"/>
        <v>81.886336763188993</v>
      </c>
      <c r="V16" s="42">
        <f t="shared" si="5"/>
        <v>2.3202115590852079</v>
      </c>
      <c r="W16" s="126">
        <f t="shared" si="6"/>
        <v>83.725240948091127</v>
      </c>
      <c r="X16" s="127">
        <v>65.42999400235486</v>
      </c>
      <c r="Y16" s="69">
        <f t="shared" si="7"/>
        <v>18.295246945736267</v>
      </c>
    </row>
    <row r="17" spans="1:25" ht="17" x14ac:dyDescent="0.2">
      <c r="A17" s="63" t="s">
        <v>100</v>
      </c>
      <c r="B17" s="84">
        <v>0</v>
      </c>
      <c r="C17" s="85">
        <v>0.5</v>
      </c>
      <c r="D17" s="85">
        <v>4</v>
      </c>
      <c r="E17" s="86">
        <v>0</v>
      </c>
      <c r="F17" s="85">
        <v>0</v>
      </c>
      <c r="G17" s="85">
        <v>0</v>
      </c>
      <c r="H17" s="88">
        <v>1.5</v>
      </c>
      <c r="I17" s="88">
        <f t="shared" si="8"/>
        <v>6</v>
      </c>
      <c r="J17" s="42">
        <v>0.6645833333333333</v>
      </c>
      <c r="K17" s="42">
        <v>0.63247222222222221</v>
      </c>
      <c r="L17" s="42">
        <v>0.40780555555555553</v>
      </c>
      <c r="M17" s="42">
        <v>0.51169444444444445</v>
      </c>
      <c r="N17" s="42">
        <v>0.4891388888888889</v>
      </c>
      <c r="Q17" s="42">
        <f t="shared" si="0"/>
        <v>41.943514314265173</v>
      </c>
      <c r="R17" s="42">
        <f t="shared" si="1"/>
        <v>41.921823504501681</v>
      </c>
      <c r="S17" s="42">
        <f t="shared" si="2"/>
        <v>38.155261584842897</v>
      </c>
      <c r="T17" s="42">
        <f t="shared" si="3"/>
        <v>44.47690561846585</v>
      </c>
      <c r="U17" s="42">
        <f t="shared" si="4"/>
        <v>44.300485546806208</v>
      </c>
      <c r="V17" s="42">
        <f t="shared" si="5"/>
        <v>2.5539798884473019</v>
      </c>
      <c r="W17" s="126">
        <f t="shared" si="6"/>
        <v>42.159598113776362</v>
      </c>
      <c r="X17" s="127">
        <v>45.985379444584702</v>
      </c>
      <c r="Y17" s="69">
        <f t="shared" si="7"/>
        <v>3.8257813308083399</v>
      </c>
    </row>
    <row r="18" spans="1:25" ht="17" x14ac:dyDescent="0.2">
      <c r="A18" s="63" t="s">
        <v>101</v>
      </c>
      <c r="B18" s="84">
        <v>3.5</v>
      </c>
      <c r="C18" s="85">
        <v>0</v>
      </c>
      <c r="D18" s="85">
        <v>2.5</v>
      </c>
      <c r="E18" s="86">
        <v>0</v>
      </c>
      <c r="F18" s="85">
        <v>0</v>
      </c>
      <c r="G18" s="85">
        <v>0</v>
      </c>
      <c r="H18" s="88">
        <v>0</v>
      </c>
      <c r="I18" s="88">
        <f t="shared" si="8"/>
        <v>6</v>
      </c>
      <c r="J18" s="42">
        <v>0.87558333333333338</v>
      </c>
      <c r="K18" s="42">
        <v>0.82947222222222217</v>
      </c>
      <c r="L18" s="42">
        <v>0.57780555555555557</v>
      </c>
      <c r="M18" s="42">
        <v>0.61569444444444443</v>
      </c>
      <c r="N18" s="42">
        <v>0.58613888888888888</v>
      </c>
      <c r="Q18" s="42">
        <f t="shared" si="0"/>
        <v>55.260251398117141</v>
      </c>
      <c r="R18" s="42">
        <f t="shared" si="1"/>
        <v>54.979470844917408</v>
      </c>
      <c r="S18" s="42">
        <f t="shared" si="2"/>
        <v>54.060867531252441</v>
      </c>
      <c r="T18" s="42">
        <f t="shared" si="3"/>
        <v>53.516671898012902</v>
      </c>
      <c r="U18" s="42">
        <f t="shared" si="4"/>
        <v>53.085612216659527</v>
      </c>
      <c r="V18" s="42">
        <f t="shared" si="5"/>
        <v>0.9297817485141352</v>
      </c>
      <c r="W18" s="126">
        <f t="shared" si="6"/>
        <v>54.18057477779189</v>
      </c>
      <c r="X18" s="127">
        <v>49.32613863978154</v>
      </c>
      <c r="Y18" s="69">
        <f t="shared" si="7"/>
        <v>4.8544361380103496</v>
      </c>
    </row>
    <row r="19" spans="1:25" ht="17" x14ac:dyDescent="0.2">
      <c r="A19" s="63" t="s">
        <v>102</v>
      </c>
      <c r="B19" s="84">
        <v>0</v>
      </c>
      <c r="C19" s="85">
        <v>0</v>
      </c>
      <c r="D19" s="85">
        <v>0.5</v>
      </c>
      <c r="E19" s="86">
        <v>0</v>
      </c>
      <c r="F19" s="85">
        <v>0</v>
      </c>
      <c r="G19" s="85">
        <v>4</v>
      </c>
      <c r="H19" s="88">
        <v>0</v>
      </c>
      <c r="I19" s="88">
        <f t="shared" si="8"/>
        <v>4.5</v>
      </c>
      <c r="J19" s="42">
        <v>0.57358333333333333</v>
      </c>
      <c r="K19" s="42">
        <v>0.67847222222222214</v>
      </c>
      <c r="L19" s="42">
        <v>0.28080555555555553</v>
      </c>
      <c r="M19" s="42">
        <v>0.43269444444444444</v>
      </c>
      <c r="N19" s="42">
        <v>0.34013888888888888</v>
      </c>
      <c r="Q19" s="42">
        <f t="shared" si="0"/>
        <v>36.20027699374134</v>
      </c>
      <c r="R19" s="42">
        <f t="shared" si="1"/>
        <v>44.97081729972566</v>
      </c>
      <c r="S19" s="42">
        <f t="shared" si="2"/>
        <v>26.272838318995767</v>
      </c>
      <c r="T19" s="42">
        <f t="shared" si="3"/>
        <v>37.610160079194536</v>
      </c>
      <c r="U19" s="42">
        <f t="shared" si="4"/>
        <v>30.805806435382017</v>
      </c>
      <c r="V19" s="42">
        <f t="shared" si="5"/>
        <v>7.0936155007050132</v>
      </c>
      <c r="W19" s="126">
        <f t="shared" si="6"/>
        <v>35.17197982540786</v>
      </c>
      <c r="X19" s="127">
        <v>45.458586499558471</v>
      </c>
      <c r="Y19" s="69">
        <f t="shared" si="7"/>
        <v>10.286606674150612</v>
      </c>
    </row>
    <row r="20" spans="1:25" ht="17" x14ac:dyDescent="0.2">
      <c r="A20" s="63" t="s">
        <v>103</v>
      </c>
      <c r="B20" s="84">
        <v>0</v>
      </c>
      <c r="C20" s="85">
        <v>0</v>
      </c>
      <c r="D20" s="85">
        <v>0</v>
      </c>
      <c r="E20" s="86">
        <v>2</v>
      </c>
      <c r="F20" s="85">
        <v>0</v>
      </c>
      <c r="G20" s="85">
        <v>0</v>
      </c>
      <c r="H20" s="88">
        <v>1.5</v>
      </c>
      <c r="I20" s="88">
        <f t="shared" si="8"/>
        <v>3.5</v>
      </c>
      <c r="J20" s="42">
        <v>0.7695833333333334</v>
      </c>
      <c r="K20" s="42">
        <v>0.62747222222222221</v>
      </c>
      <c r="L20" s="42">
        <v>0.6108055555555556</v>
      </c>
      <c r="M20" s="42">
        <v>0.65869444444444436</v>
      </c>
      <c r="N20" s="42">
        <v>0.55613888888888885</v>
      </c>
      <c r="Q20" s="42">
        <f t="shared" si="0"/>
        <v>48.570326607177293</v>
      </c>
      <c r="R20" s="42">
        <f t="shared" si="1"/>
        <v>41.590411135455597</v>
      </c>
      <c r="S20" s="42">
        <f t="shared" si="2"/>
        <v>57.148426332614299</v>
      </c>
      <c r="T20" s="42">
        <f t="shared" si="3"/>
        <v>57.254267571287151</v>
      </c>
      <c r="U20" s="42">
        <f t="shared" si="4"/>
        <v>50.368562731137878</v>
      </c>
      <c r="V20" s="42">
        <f t="shared" si="5"/>
        <v>6.552870986978947</v>
      </c>
      <c r="W20" s="126">
        <f t="shared" si="6"/>
        <v>50.986398875534448</v>
      </c>
      <c r="X20" s="127">
        <v>48.01831281614411</v>
      </c>
      <c r="Y20" s="69">
        <f>ABS(X20-W20)</f>
        <v>2.9680860593903375</v>
      </c>
    </row>
    <row r="21" spans="1:25" ht="17" x14ac:dyDescent="0.2">
      <c r="A21" s="63" t="s">
        <v>104</v>
      </c>
      <c r="B21" s="84">
        <v>0</v>
      </c>
      <c r="C21" s="85">
        <v>0</v>
      </c>
      <c r="D21" s="85">
        <v>3</v>
      </c>
      <c r="E21" s="86">
        <v>0.5</v>
      </c>
      <c r="F21" s="85">
        <v>0</v>
      </c>
      <c r="G21" s="85">
        <v>0</v>
      </c>
      <c r="H21" s="88">
        <v>2.5</v>
      </c>
      <c r="I21" s="88">
        <f t="shared" si="8"/>
        <v>6</v>
      </c>
      <c r="J21" s="42">
        <v>0.63258333333333339</v>
      </c>
      <c r="K21" s="42">
        <v>0.62747222222222221</v>
      </c>
      <c r="L21" s="42">
        <v>0.41080555555555553</v>
      </c>
      <c r="M21" s="42">
        <v>0.40669444444444447</v>
      </c>
      <c r="N21" s="42">
        <v>0.36413888888888885</v>
      </c>
      <c r="Q21" s="42">
        <f t="shared" si="0"/>
        <v>39.923914377377677</v>
      </c>
      <c r="R21" s="42">
        <f t="shared" si="1"/>
        <v>41.590411135455597</v>
      </c>
      <c r="S21" s="42">
        <f t="shared" si="2"/>
        <v>38.435948748603067</v>
      </c>
      <c r="T21" s="42">
        <f t="shared" si="3"/>
        <v>35.35021850930778</v>
      </c>
      <c r="U21" s="42">
        <f t="shared" si="4"/>
        <v>32.979446023799333</v>
      </c>
      <c r="V21" s="42">
        <f t="shared" si="5"/>
        <v>3.4791569392148993</v>
      </c>
      <c r="W21" s="126">
        <f t="shared" si="6"/>
        <v>37.655987758908694</v>
      </c>
      <c r="X21" s="127">
        <v>23.06144320442645</v>
      </c>
      <c r="Y21" s="69">
        <f t="shared" si="7"/>
        <v>14.594544554482244</v>
      </c>
    </row>
    <row r="22" spans="1:25" ht="17" x14ac:dyDescent="0.2">
      <c r="A22" s="63" t="s">
        <v>105</v>
      </c>
      <c r="B22" s="84">
        <v>2</v>
      </c>
      <c r="C22" s="85">
        <v>0</v>
      </c>
      <c r="D22" s="85">
        <v>0</v>
      </c>
      <c r="E22" s="86">
        <v>0</v>
      </c>
      <c r="F22" s="85">
        <v>0</v>
      </c>
      <c r="G22" s="85">
        <v>0</v>
      </c>
      <c r="H22" s="88">
        <v>3</v>
      </c>
      <c r="I22" s="88">
        <f t="shared" si="8"/>
        <v>5</v>
      </c>
      <c r="J22" s="42">
        <v>0.21058333333333334</v>
      </c>
      <c r="K22" s="42">
        <v>0.15547222222222223</v>
      </c>
      <c r="L22" s="42">
        <v>0.40680555555555553</v>
      </c>
      <c r="M22" s="42">
        <v>0.44269444444444445</v>
      </c>
      <c r="N22" s="42">
        <v>0.4241388888888889</v>
      </c>
      <c r="Q22" s="42">
        <f t="shared" si="0"/>
        <v>13.290440209673744</v>
      </c>
      <c r="R22" s="42">
        <f t="shared" si="1"/>
        <v>10.305083497505201</v>
      </c>
      <c r="S22" s="42">
        <f t="shared" si="2"/>
        <v>38.061699196922845</v>
      </c>
      <c r="T22" s="42">
        <f t="shared" si="3"/>
        <v>38.47936837530483</v>
      </c>
      <c r="U22" s="42">
        <f t="shared" si="4"/>
        <v>38.413544994842638</v>
      </c>
      <c r="V22" s="42">
        <f t="shared" si="5"/>
        <v>14.565006607663319</v>
      </c>
      <c r="W22" s="126">
        <f t="shared" si="6"/>
        <v>27.710027254849855</v>
      </c>
      <c r="X22" s="127">
        <v>22.09300637398519</v>
      </c>
      <c r="Y22" s="69">
        <f t="shared" si="7"/>
        <v>5.6170208808646649</v>
      </c>
    </row>
    <row r="23" spans="1:25" ht="17" x14ac:dyDescent="0.2">
      <c r="A23" s="63" t="s">
        <v>106</v>
      </c>
      <c r="B23" s="89">
        <v>0</v>
      </c>
      <c r="C23" s="74">
        <v>0</v>
      </c>
      <c r="D23" s="74">
        <v>3</v>
      </c>
      <c r="E23" s="90">
        <v>3</v>
      </c>
      <c r="F23" s="74">
        <v>0</v>
      </c>
      <c r="G23" s="74">
        <v>0</v>
      </c>
      <c r="H23" s="91">
        <v>0</v>
      </c>
      <c r="I23" s="88">
        <f t="shared" si="8"/>
        <v>6</v>
      </c>
      <c r="J23" s="42">
        <v>0.42258333333333337</v>
      </c>
      <c r="K23" s="42">
        <v>0.46347222222222223</v>
      </c>
      <c r="L23" s="42">
        <v>0.3678055555555555</v>
      </c>
      <c r="M23" s="42">
        <v>0.31969444444444445</v>
      </c>
      <c r="N23" s="42">
        <v>0.31313888888888886</v>
      </c>
      <c r="Q23" s="42">
        <f t="shared" si="0"/>
        <v>26.670289791553447</v>
      </c>
      <c r="R23" s="42">
        <f t="shared" si="1"/>
        <v>30.720085430744021</v>
      </c>
      <c r="S23" s="42">
        <f t="shared" si="2"/>
        <v>34.412766068040654</v>
      </c>
      <c r="T23" s="42">
        <f t="shared" si="3"/>
        <v>27.788106333148228</v>
      </c>
      <c r="U23" s="42">
        <f t="shared" si="4"/>
        <v>28.360461898412531</v>
      </c>
      <c r="V23" s="42">
        <f t="shared" si="5"/>
        <v>3.0748763176156384</v>
      </c>
      <c r="W23" s="126">
        <f t="shared" si="6"/>
        <v>29.590341904379773</v>
      </c>
      <c r="X23" s="127">
        <v>25.511379374519581</v>
      </c>
      <c r="Y23" s="69">
        <f t="shared" si="7"/>
        <v>4.0789625298601919</v>
      </c>
    </row>
    <row r="24" spans="1:25" ht="17" x14ac:dyDescent="0.2">
      <c r="A24" s="63" t="s">
        <v>107</v>
      </c>
      <c r="B24" s="89">
        <v>2</v>
      </c>
      <c r="C24" s="74">
        <v>2</v>
      </c>
      <c r="D24" s="74">
        <v>0</v>
      </c>
      <c r="E24" s="90">
        <v>2</v>
      </c>
      <c r="F24" s="74">
        <v>0</v>
      </c>
      <c r="G24" s="74">
        <v>0</v>
      </c>
      <c r="H24" s="91">
        <v>0</v>
      </c>
      <c r="I24" s="88">
        <f t="shared" si="8"/>
        <v>6</v>
      </c>
      <c r="J24" s="42">
        <v>0.54958333333333331</v>
      </c>
      <c r="K24" s="42">
        <v>0.52847222222222212</v>
      </c>
      <c r="L24" s="42">
        <v>0.28880555555555554</v>
      </c>
      <c r="M24" s="42">
        <v>0.26769444444444446</v>
      </c>
      <c r="N24" s="42">
        <v>0.34213888888888888</v>
      </c>
      <c r="Q24" s="42">
        <f t="shared" si="0"/>
        <v>34.685577041075717</v>
      </c>
      <c r="R24" s="42">
        <f t="shared" si="1"/>
        <v>35.028446228343114</v>
      </c>
      <c r="S24" s="42">
        <f t="shared" si="2"/>
        <v>27.021337422356218</v>
      </c>
      <c r="T24" s="42">
        <f t="shared" si="3"/>
        <v>23.268223193374705</v>
      </c>
      <c r="U24" s="42">
        <f t="shared" si="4"/>
        <v>30.986943067750129</v>
      </c>
      <c r="V24" s="42">
        <f t="shared" si="5"/>
        <v>5.0548734231176562</v>
      </c>
      <c r="W24" s="126">
        <f t="shared" si="6"/>
        <v>30.198105390579975</v>
      </c>
      <c r="X24" s="127">
        <v>23.096584351426412</v>
      </c>
      <c r="Y24" s="69">
        <f t="shared" si="7"/>
        <v>7.1015210391535639</v>
      </c>
    </row>
    <row r="25" spans="1:25" ht="17" x14ac:dyDescent="0.2">
      <c r="A25" s="63" t="s">
        <v>108</v>
      </c>
      <c r="B25" s="89">
        <v>0</v>
      </c>
      <c r="C25" s="74">
        <v>0</v>
      </c>
      <c r="D25" s="74">
        <v>1</v>
      </c>
      <c r="E25" s="90">
        <v>0</v>
      </c>
      <c r="F25" s="74">
        <v>0.5</v>
      </c>
      <c r="G25" s="74">
        <v>2</v>
      </c>
      <c r="H25" s="91">
        <v>0</v>
      </c>
      <c r="I25" s="88">
        <f t="shared" si="8"/>
        <v>3.5</v>
      </c>
      <c r="J25" s="42">
        <v>1.2235833333333332</v>
      </c>
      <c r="K25" s="42">
        <v>1.1554722222222222</v>
      </c>
      <c r="L25" s="42">
        <v>0.7328055555555556</v>
      </c>
      <c r="M25" s="42">
        <v>0.92969444444444438</v>
      </c>
      <c r="N25" s="42">
        <v>0.85213888888888889</v>
      </c>
      <c r="Q25" s="42">
        <f t="shared" si="0"/>
        <v>77.223400711768718</v>
      </c>
      <c r="R25" s="42">
        <f t="shared" si="1"/>
        <v>76.587557306722147</v>
      </c>
      <c r="S25" s="42">
        <f t="shared" si="2"/>
        <v>68.563037658861163</v>
      </c>
      <c r="T25" s="42">
        <f t="shared" si="3"/>
        <v>80.809812395876094</v>
      </c>
      <c r="U25" s="42">
        <f t="shared" si="4"/>
        <v>77.176784321618143</v>
      </c>
      <c r="V25" s="42">
        <f t="shared" si="5"/>
        <v>4.5178383382388043</v>
      </c>
      <c r="W25" s="126">
        <f t="shared" si="6"/>
        <v>76.072118478969244</v>
      </c>
      <c r="X25" s="127">
        <v>72.40733153921073</v>
      </c>
      <c r="Y25" s="69">
        <f t="shared" si="7"/>
        <v>3.664786939758514</v>
      </c>
    </row>
    <row r="26" spans="1:25" ht="17" x14ac:dyDescent="0.2">
      <c r="A26" s="63" t="s">
        <v>109</v>
      </c>
      <c r="B26" s="89">
        <v>0</v>
      </c>
      <c r="C26" s="90">
        <v>0</v>
      </c>
      <c r="D26" s="74">
        <v>1</v>
      </c>
      <c r="E26" s="90">
        <v>1</v>
      </c>
      <c r="F26" s="74">
        <v>1.5</v>
      </c>
      <c r="G26" s="74">
        <v>0</v>
      </c>
      <c r="H26" s="91">
        <v>0</v>
      </c>
      <c r="I26" s="88">
        <f t="shared" si="8"/>
        <v>3.5</v>
      </c>
      <c r="J26" s="42">
        <v>1.2525833333333334</v>
      </c>
      <c r="K26" s="42">
        <v>1.2274722222222223</v>
      </c>
      <c r="L26" s="42">
        <v>0.93480555555555556</v>
      </c>
      <c r="M26" s="42">
        <v>0.97869444444444431</v>
      </c>
      <c r="N26" s="42">
        <v>0.96113888888888888</v>
      </c>
      <c r="Q26" s="42">
        <f t="shared" si="0"/>
        <v>79.05366315457303</v>
      </c>
      <c r="R26" s="42">
        <f t="shared" si="1"/>
        <v>81.359895420985765</v>
      </c>
      <c r="S26" s="42">
        <f t="shared" si="2"/>
        <v>87.462640018712491</v>
      </c>
      <c r="T26" s="42">
        <f t="shared" si="3"/>
        <v>85.068933046816525</v>
      </c>
      <c r="U26" s="42">
        <f t="shared" si="4"/>
        <v>87.048730785680135</v>
      </c>
      <c r="V26" s="42">
        <f t="shared" si="5"/>
        <v>3.6695928249575198</v>
      </c>
      <c r="W26" s="126">
        <f t="shared" si="6"/>
        <v>83.998772485353584</v>
      </c>
      <c r="X26" s="127">
        <v>73.192915995635985</v>
      </c>
      <c r="Y26" s="69">
        <f t="shared" si="7"/>
        <v>10.805856489717598</v>
      </c>
    </row>
    <row r="27" spans="1:25" ht="17" x14ac:dyDescent="0.2">
      <c r="A27" s="63" t="s">
        <v>110</v>
      </c>
      <c r="B27" s="89">
        <v>0</v>
      </c>
      <c r="C27" s="74">
        <v>0</v>
      </c>
      <c r="D27" s="74">
        <v>0.5</v>
      </c>
      <c r="E27" s="90">
        <v>1.5</v>
      </c>
      <c r="F27" s="74">
        <v>0.5</v>
      </c>
      <c r="G27" s="74">
        <v>1</v>
      </c>
      <c r="H27" s="91">
        <v>0</v>
      </c>
      <c r="I27" s="88">
        <f t="shared" si="8"/>
        <v>3.5</v>
      </c>
      <c r="J27" s="42">
        <v>1.3275833333333333</v>
      </c>
      <c r="K27" s="42">
        <v>1.2934722222222224</v>
      </c>
      <c r="L27" s="42">
        <v>0.9808055555555556</v>
      </c>
      <c r="M27" s="42">
        <v>0.99469444444444433</v>
      </c>
      <c r="N27" s="42">
        <v>0.89413888888888893</v>
      </c>
      <c r="Q27" s="42">
        <f t="shared" si="0"/>
        <v>83.787100506653118</v>
      </c>
      <c r="R27" s="42">
        <f t="shared" si="1"/>
        <v>85.734538692394096</v>
      </c>
      <c r="S27" s="42">
        <f t="shared" si="2"/>
        <v>91.766509863035083</v>
      </c>
      <c r="T27" s="42">
        <f t="shared" si="3"/>
        <v>86.459666320592987</v>
      </c>
      <c r="U27" s="42">
        <f t="shared" si="4"/>
        <v>80.98065360134845</v>
      </c>
      <c r="V27" s="42">
        <f t="shared" si="5"/>
        <v>3.978121511624471</v>
      </c>
      <c r="W27" s="126">
        <f t="shared" si="6"/>
        <v>85.745693796804744</v>
      </c>
      <c r="X27" s="127">
        <v>73.337734560440268</v>
      </c>
      <c r="Y27" s="69">
        <f t="shared" si="7"/>
        <v>12.407959236364476</v>
      </c>
    </row>
    <row r="28" spans="1:25" ht="17" x14ac:dyDescent="0.2">
      <c r="A28" s="63" t="s">
        <v>111</v>
      </c>
      <c r="B28" s="89">
        <v>0</v>
      </c>
      <c r="C28" s="74">
        <v>0</v>
      </c>
      <c r="D28" s="74">
        <v>2</v>
      </c>
      <c r="E28" s="90">
        <v>0</v>
      </c>
      <c r="F28" s="74">
        <v>0</v>
      </c>
      <c r="G28" s="74">
        <v>1</v>
      </c>
      <c r="H28" s="91">
        <v>0.5</v>
      </c>
      <c r="I28" s="88">
        <f t="shared" si="8"/>
        <v>3.5</v>
      </c>
      <c r="J28" s="42">
        <v>1.3015833333333333</v>
      </c>
      <c r="K28" s="42">
        <v>1.1134722222222222</v>
      </c>
      <c r="L28" s="42">
        <v>1.0508055555555555</v>
      </c>
      <c r="M28" s="42">
        <v>0.93069444444444438</v>
      </c>
      <c r="N28" s="42">
        <v>0.98613888888888879</v>
      </c>
      <c r="Q28" s="42">
        <f t="shared" si="0"/>
        <v>82.146175557932011</v>
      </c>
      <c r="R28" s="42">
        <f t="shared" si="1"/>
        <v>73.803693406735022</v>
      </c>
      <c r="S28" s="42">
        <f t="shared" si="2"/>
        <v>98.315877017439007</v>
      </c>
      <c r="T28" s="42">
        <f t="shared" si="3"/>
        <v>80.896733225487111</v>
      </c>
      <c r="U28" s="42">
        <f t="shared" si="4"/>
        <v>89.312938690281499</v>
      </c>
      <c r="V28" s="42">
        <f t="shared" si="5"/>
        <v>9.3031900054855949</v>
      </c>
      <c r="W28" s="126">
        <f t="shared" si="6"/>
        <v>84.89508357957493</v>
      </c>
      <c r="X28" s="127">
        <v>74.231825816969604</v>
      </c>
      <c r="Y28" s="69">
        <f t="shared" si="7"/>
        <v>10.663257762605326</v>
      </c>
    </row>
    <row r="29" spans="1:25" ht="17" x14ac:dyDescent="0.2">
      <c r="A29" s="63" t="s">
        <v>112</v>
      </c>
      <c r="B29" s="84">
        <v>0</v>
      </c>
      <c r="C29" s="85">
        <v>5.5</v>
      </c>
      <c r="D29" s="85">
        <v>0</v>
      </c>
      <c r="E29" s="86">
        <v>0</v>
      </c>
      <c r="F29" s="85">
        <v>0.5</v>
      </c>
      <c r="G29" s="85">
        <v>0</v>
      </c>
      <c r="H29" s="88">
        <v>0</v>
      </c>
      <c r="I29" s="88">
        <f t="shared" si="8"/>
        <v>6</v>
      </c>
      <c r="J29" s="42">
        <v>6.5833333333333299E-3</v>
      </c>
      <c r="K29" s="42">
        <v>9.4722222222222152E-3</v>
      </c>
      <c r="L29" s="42">
        <v>7.8055555555555448E-3</v>
      </c>
      <c r="M29" s="42">
        <v>4.6944444444444525E-3</v>
      </c>
      <c r="N29" s="42">
        <v>2.9138888888888881E-2</v>
      </c>
      <c r="Q29" s="42">
        <f t="shared" si="0"/>
        <v>0.41549061201591808</v>
      </c>
      <c r="R29" s="42">
        <f t="shared" si="1"/>
        <v>0.62784232135952667</v>
      </c>
      <c r="S29" s="42">
        <f t="shared" si="2"/>
        <v>0.73030641682043729</v>
      </c>
      <c r="T29" s="42">
        <f t="shared" si="3"/>
        <v>0.40804500567399932</v>
      </c>
      <c r="U29" s="42">
        <f t="shared" si="4"/>
        <v>2.6390601021409332</v>
      </c>
      <c r="V29" s="42">
        <f t="shared" si="5"/>
        <v>0.94649213085632633</v>
      </c>
      <c r="W29" s="126">
        <f t="shared" si="6"/>
        <v>0.96414889160216288</v>
      </c>
      <c r="X29" s="127">
        <v>5.3542999348369316</v>
      </c>
      <c r="Y29" s="69">
        <f t="shared" si="7"/>
        <v>4.390151043234769</v>
      </c>
    </row>
    <row r="30" spans="1:25" ht="17" x14ac:dyDescent="0.2">
      <c r="A30" s="63" t="s">
        <v>113</v>
      </c>
      <c r="B30" s="84">
        <v>5.5</v>
      </c>
      <c r="C30" s="85">
        <v>0.5</v>
      </c>
      <c r="D30" s="85">
        <v>0</v>
      </c>
      <c r="E30" s="86">
        <v>0</v>
      </c>
      <c r="F30" s="85">
        <v>0</v>
      </c>
      <c r="G30" s="85">
        <v>0</v>
      </c>
      <c r="H30" s="88">
        <v>0</v>
      </c>
      <c r="I30" s="88">
        <f t="shared" si="8"/>
        <v>6</v>
      </c>
      <c r="J30" s="42">
        <v>4.7583333333333325E-2</v>
      </c>
      <c r="K30" s="42">
        <v>5.8472222222222224E-2</v>
      </c>
      <c r="L30" s="42">
        <v>4.0805555555555553E-2</v>
      </c>
      <c r="M30" s="42">
        <v>4.4694444444444446E-2</v>
      </c>
      <c r="N30" s="42">
        <v>4.2138888888888892E-2</v>
      </c>
      <c r="Q30" s="42">
        <f t="shared" si="0"/>
        <v>3.0031030311530293</v>
      </c>
      <c r="R30" s="42">
        <f t="shared" si="1"/>
        <v>3.8756835380111569</v>
      </c>
      <c r="S30" s="42">
        <f t="shared" si="2"/>
        <v>3.8178652181822912</v>
      </c>
      <c r="T30" s="42">
        <f t="shared" si="3"/>
        <v>3.8848781901151708</v>
      </c>
      <c r="U30" s="42">
        <f t="shared" si="4"/>
        <v>3.8164482125336483</v>
      </c>
      <c r="V30" s="42">
        <f t="shared" si="5"/>
        <v>0.37949991495802349</v>
      </c>
      <c r="W30" s="126">
        <f t="shared" si="6"/>
        <v>3.6795956379990593</v>
      </c>
      <c r="X30" s="127">
        <v>6.2528221603677094</v>
      </c>
      <c r="Y30" s="69">
        <f t="shared" si="7"/>
        <v>2.5732265223686501</v>
      </c>
    </row>
    <row r="31" spans="1:25" ht="17" x14ac:dyDescent="0.2">
      <c r="A31" s="63" t="s">
        <v>114</v>
      </c>
      <c r="B31" s="84">
        <v>0</v>
      </c>
      <c r="C31" s="85">
        <v>0</v>
      </c>
      <c r="D31" s="85">
        <v>0</v>
      </c>
      <c r="E31" s="86">
        <v>0</v>
      </c>
      <c r="F31" s="85">
        <v>4.5</v>
      </c>
      <c r="G31" s="85">
        <v>0</v>
      </c>
      <c r="H31" s="88">
        <v>1.5</v>
      </c>
      <c r="I31" s="88">
        <f t="shared" si="8"/>
        <v>6</v>
      </c>
      <c r="J31" s="42">
        <v>0.15058333333333335</v>
      </c>
      <c r="K31" s="42">
        <v>0.15347222222222223</v>
      </c>
      <c r="L31" s="42">
        <v>4.5805555555555544E-2</v>
      </c>
      <c r="M31" s="42">
        <v>1.5694444444444448E-2</v>
      </c>
      <c r="N31" s="42">
        <v>2.2138888888888889E-2</v>
      </c>
      <c r="Q31" s="42">
        <f t="shared" si="0"/>
        <v>9.5036903280096769</v>
      </c>
      <c r="R31" s="42">
        <f t="shared" si="1"/>
        <v>10.172518549886767</v>
      </c>
      <c r="S31" s="42">
        <f t="shared" si="2"/>
        <v>4.2856771577825716</v>
      </c>
      <c r="T31" s="42">
        <f t="shared" si="3"/>
        <v>1.3641741313953213</v>
      </c>
      <c r="U31" s="42">
        <f t="shared" si="4"/>
        <v>2.0050818888525495</v>
      </c>
      <c r="V31" s="42">
        <f t="shared" si="5"/>
        <v>4.1427753808514645</v>
      </c>
      <c r="W31" s="126">
        <f t="shared" si="6"/>
        <v>5.4662284111853765</v>
      </c>
      <c r="X31" s="127">
        <v>3.2059351580559441</v>
      </c>
      <c r="Y31" s="69">
        <f t="shared" si="7"/>
        <v>2.2602932531294324</v>
      </c>
    </row>
    <row r="32" spans="1:25" ht="17" x14ac:dyDescent="0.2">
      <c r="A32" s="63" t="s">
        <v>115</v>
      </c>
      <c r="B32" s="84">
        <v>0</v>
      </c>
      <c r="C32" s="85">
        <v>0</v>
      </c>
      <c r="D32" s="85">
        <v>1.5</v>
      </c>
      <c r="E32" s="86">
        <v>1</v>
      </c>
      <c r="F32" s="85">
        <v>1</v>
      </c>
      <c r="G32" s="85">
        <v>1</v>
      </c>
      <c r="H32" s="88">
        <v>1.5</v>
      </c>
      <c r="I32" s="88">
        <f t="shared" si="8"/>
        <v>6</v>
      </c>
      <c r="J32" s="42">
        <v>0.14658333333333334</v>
      </c>
      <c r="K32" s="42">
        <v>0.14947222222222223</v>
      </c>
      <c r="L32" s="42">
        <v>3.1805555555555545E-2</v>
      </c>
      <c r="M32" s="42">
        <v>3.8694444444444455E-2</v>
      </c>
      <c r="N32" s="42">
        <v>2.413888888888889E-2</v>
      </c>
      <c r="Q32" s="42">
        <f t="shared" si="0"/>
        <v>9.251240335898741</v>
      </c>
      <c r="R32" s="42">
        <f t="shared" si="1"/>
        <v>9.9073886546498997</v>
      </c>
      <c r="S32" s="42">
        <f t="shared" si="2"/>
        <v>2.975803726901785</v>
      </c>
      <c r="T32" s="42">
        <f t="shared" si="3"/>
        <v>3.3633532124489953</v>
      </c>
      <c r="U32" s="42">
        <f t="shared" si="4"/>
        <v>2.1862185212206597</v>
      </c>
      <c r="V32" s="42">
        <f t="shared" si="5"/>
        <v>3.7218302383430872</v>
      </c>
      <c r="W32" s="126">
        <f t="shared" si="6"/>
        <v>5.5368008902240167</v>
      </c>
      <c r="X32" s="127">
        <v>5.1815343669832501</v>
      </c>
      <c r="Y32" s="69">
        <f t="shared" si="7"/>
        <v>0.35526652324076657</v>
      </c>
    </row>
    <row r="33" spans="1:25" ht="17" x14ac:dyDescent="0.2">
      <c r="A33" s="63" t="s">
        <v>116</v>
      </c>
      <c r="B33" s="84">
        <v>4.5</v>
      </c>
      <c r="C33" s="85">
        <v>0</v>
      </c>
      <c r="D33" s="85">
        <v>0</v>
      </c>
      <c r="E33" s="86">
        <v>0.5</v>
      </c>
      <c r="F33" s="85">
        <v>0</v>
      </c>
      <c r="G33" s="85">
        <v>0</v>
      </c>
      <c r="H33" s="88">
        <v>1</v>
      </c>
      <c r="I33" s="88">
        <f t="shared" si="8"/>
        <v>6</v>
      </c>
      <c r="J33" s="42">
        <v>0.36458333333333337</v>
      </c>
      <c r="K33" s="42">
        <v>0.3694722222222222</v>
      </c>
      <c r="L33" s="42">
        <v>0.13080555555555554</v>
      </c>
      <c r="M33" s="42">
        <v>0.32369444444444445</v>
      </c>
      <c r="N33" s="42">
        <v>0.28213888888888888</v>
      </c>
      <c r="Q33" s="42">
        <f t="shared" si="0"/>
        <v>23.009764905944849</v>
      </c>
      <c r="R33" s="42">
        <f t="shared" si="1"/>
        <v>24.489532892677623</v>
      </c>
      <c r="S33" s="42">
        <f t="shared" si="2"/>
        <v>12.238480130987343</v>
      </c>
      <c r="T33" s="42">
        <f t="shared" si="3"/>
        <v>28.135789651592347</v>
      </c>
      <c r="U33" s="42">
        <f t="shared" si="4"/>
        <v>25.552844096706835</v>
      </c>
      <c r="V33" s="42">
        <f t="shared" si="5"/>
        <v>6.1324388657556215</v>
      </c>
      <c r="W33" s="126">
        <f t="shared" si="6"/>
        <v>22.6852823355818</v>
      </c>
      <c r="X33" s="127">
        <v>28.740088129376002</v>
      </c>
      <c r="Y33" s="69">
        <f t="shared" si="7"/>
        <v>6.0548057937942019</v>
      </c>
    </row>
    <row r="34" spans="1:25" ht="17" x14ac:dyDescent="0.2">
      <c r="A34" s="63" t="s">
        <v>117</v>
      </c>
      <c r="B34" s="84">
        <v>0</v>
      </c>
      <c r="C34" s="85">
        <v>0</v>
      </c>
      <c r="D34" s="85">
        <v>4</v>
      </c>
      <c r="E34" s="86">
        <v>2</v>
      </c>
      <c r="F34" s="85">
        <v>0</v>
      </c>
      <c r="G34" s="85">
        <v>0</v>
      </c>
      <c r="H34" s="88">
        <v>0</v>
      </c>
      <c r="I34" s="88">
        <f t="shared" si="8"/>
        <v>6</v>
      </c>
      <c r="J34" s="42">
        <v>0.85158333333333336</v>
      </c>
      <c r="K34" s="42">
        <v>0.81847222222222216</v>
      </c>
      <c r="L34" s="42">
        <v>0.54380555555555554</v>
      </c>
      <c r="M34" s="42">
        <v>0.4996944444444445</v>
      </c>
      <c r="N34" s="42">
        <v>0.46413888888888888</v>
      </c>
      <c r="Q34" s="42">
        <f t="shared" si="0"/>
        <v>53.745551445451511</v>
      </c>
      <c r="R34" s="42">
        <f t="shared" si="1"/>
        <v>54.250363633016029</v>
      </c>
      <c r="S34" s="42">
        <f t="shared" si="2"/>
        <v>50.879746341970531</v>
      </c>
      <c r="T34" s="42">
        <f t="shared" si="3"/>
        <v>43.4338556631335</v>
      </c>
      <c r="U34" s="42">
        <f t="shared" si="4"/>
        <v>42.03627764220483</v>
      </c>
      <c r="V34" s="42">
        <f t="shared" si="5"/>
        <v>5.7664941267983743</v>
      </c>
      <c r="W34" s="126">
        <f t="shared" si="6"/>
        <v>48.869158945155277</v>
      </c>
      <c r="X34" s="127">
        <v>34.975242852458841</v>
      </c>
      <c r="Y34" s="69">
        <f t="shared" si="7"/>
        <v>13.893916092696436</v>
      </c>
    </row>
    <row r="35" spans="1:25" ht="17" x14ac:dyDescent="0.2">
      <c r="A35" s="63" t="s">
        <v>118</v>
      </c>
      <c r="B35" s="89">
        <v>0</v>
      </c>
      <c r="C35" s="74">
        <v>3</v>
      </c>
      <c r="D35" s="74">
        <v>3</v>
      </c>
      <c r="E35" s="90">
        <v>0</v>
      </c>
      <c r="F35" s="90">
        <v>0</v>
      </c>
      <c r="G35" s="74">
        <v>0</v>
      </c>
      <c r="H35" s="91">
        <v>0</v>
      </c>
      <c r="I35" s="88">
        <f t="shared" si="8"/>
        <v>6</v>
      </c>
      <c r="J35" s="42">
        <v>0.56858333333333333</v>
      </c>
      <c r="K35" s="42">
        <v>0.54447222222222214</v>
      </c>
      <c r="L35" s="42">
        <v>0.39180555555555552</v>
      </c>
      <c r="M35" s="42">
        <v>0.39769444444444446</v>
      </c>
      <c r="N35" s="42">
        <v>0.32313888888888886</v>
      </c>
      <c r="Q35" s="42">
        <f t="shared" si="0"/>
        <v>35.884714503602673</v>
      </c>
      <c r="R35" s="42">
        <f t="shared" si="1"/>
        <v>36.088965809290585</v>
      </c>
      <c r="S35" s="42">
        <f t="shared" si="2"/>
        <v>36.658263378121994</v>
      </c>
      <c r="T35" s="42">
        <f t="shared" si="3"/>
        <v>34.567931042808517</v>
      </c>
      <c r="U35" s="42">
        <f t="shared" si="4"/>
        <v>29.266145060253084</v>
      </c>
      <c r="V35" s="42">
        <f t="shared" si="5"/>
        <v>3.0206774337446216</v>
      </c>
      <c r="W35" s="126">
        <f t="shared" si="6"/>
        <v>34.493203958815371</v>
      </c>
      <c r="X35" s="127">
        <v>31.839934804514911</v>
      </c>
      <c r="Y35" s="69">
        <f>ABS(X35-W35)</f>
        <v>2.6532691543004603</v>
      </c>
    </row>
    <row r="36" spans="1:25" ht="17" x14ac:dyDescent="0.2">
      <c r="A36" s="63" t="s">
        <v>119</v>
      </c>
      <c r="B36" s="89">
        <v>0</v>
      </c>
      <c r="C36" s="74">
        <v>0</v>
      </c>
      <c r="D36" s="74">
        <v>0</v>
      </c>
      <c r="E36" s="90">
        <v>0</v>
      </c>
      <c r="F36" s="90">
        <v>5.5</v>
      </c>
      <c r="G36" s="74">
        <v>0</v>
      </c>
      <c r="H36" s="91">
        <v>0</v>
      </c>
      <c r="I36" s="88">
        <f t="shared" si="8"/>
        <v>5.5</v>
      </c>
      <c r="J36" s="42">
        <v>0.47258333333333336</v>
      </c>
      <c r="K36" s="42">
        <v>0.41547222222222224</v>
      </c>
      <c r="L36" s="42">
        <v>0.18280555555555555</v>
      </c>
      <c r="M36" s="42">
        <v>0.18969444444444447</v>
      </c>
      <c r="N36" s="42">
        <v>0.22313888888888889</v>
      </c>
      <c r="Q36" s="42">
        <f t="shared" si="0"/>
        <v>29.825914692940163</v>
      </c>
      <c r="R36" s="42">
        <f t="shared" si="1"/>
        <v>27.538526687901605</v>
      </c>
      <c r="S36" s="42">
        <f t="shared" si="2"/>
        <v>17.103724302830265</v>
      </c>
      <c r="T36" s="42">
        <f t="shared" si="3"/>
        <v>16.48839848371442</v>
      </c>
      <c r="U36" s="42">
        <f t="shared" si="4"/>
        <v>20.209313441847591</v>
      </c>
      <c r="V36" s="42">
        <f t="shared" si="5"/>
        <v>6.1074992808103845</v>
      </c>
      <c r="W36" s="126">
        <f t="shared" si="6"/>
        <v>22.233175521846807</v>
      </c>
      <c r="X36" s="127">
        <v>29.635717425117019</v>
      </c>
      <c r="Y36" s="69">
        <f t="shared" si="7"/>
        <v>7.4025419032702118</v>
      </c>
    </row>
    <row r="37" spans="1:25" ht="17" x14ac:dyDescent="0.2">
      <c r="A37" s="63" t="s">
        <v>120</v>
      </c>
      <c r="B37" s="89">
        <v>0.5</v>
      </c>
      <c r="C37" s="74">
        <v>0</v>
      </c>
      <c r="D37" s="74">
        <v>4</v>
      </c>
      <c r="E37" s="90">
        <v>0</v>
      </c>
      <c r="F37" s="74">
        <v>0</v>
      </c>
      <c r="G37" s="74">
        <v>0.5</v>
      </c>
      <c r="H37" s="91">
        <v>1</v>
      </c>
      <c r="I37" s="88">
        <f t="shared" si="8"/>
        <v>6</v>
      </c>
      <c r="J37" s="42">
        <v>1.0725833333333334</v>
      </c>
      <c r="K37" s="42">
        <v>0.87647222222222221</v>
      </c>
      <c r="L37" s="42">
        <v>0.49280555555555561</v>
      </c>
      <c r="M37" s="42">
        <v>0.56369444444444439</v>
      </c>
      <c r="N37" s="42">
        <v>0.52413888888888882</v>
      </c>
      <c r="Q37" s="42">
        <f t="shared" si="0"/>
        <v>67.693413509580836</v>
      </c>
      <c r="R37" s="42">
        <f t="shared" si="1"/>
        <v>58.094747113950618</v>
      </c>
      <c r="S37" s="42">
        <f t="shared" si="2"/>
        <v>46.10806455804768</v>
      </c>
      <c r="T37" s="42">
        <f t="shared" si="3"/>
        <v>48.996788758239369</v>
      </c>
      <c r="U37" s="42">
        <f t="shared" si="4"/>
        <v>47.470376613248121</v>
      </c>
      <c r="V37" s="42">
        <f t="shared" si="5"/>
        <v>9.1336134511164637</v>
      </c>
      <c r="W37" s="126">
        <f t="shared" si="6"/>
        <v>53.672678110613319</v>
      </c>
      <c r="X37" s="127">
        <v>54.644060427736967</v>
      </c>
      <c r="Y37" s="69">
        <f t="shared" si="7"/>
        <v>0.97138231712364842</v>
      </c>
    </row>
    <row r="38" spans="1:25" ht="17" x14ac:dyDescent="0.2">
      <c r="A38" s="63" t="s">
        <v>121</v>
      </c>
      <c r="B38" s="89">
        <v>3</v>
      </c>
      <c r="C38" s="74">
        <v>0</v>
      </c>
      <c r="D38" s="74">
        <v>3</v>
      </c>
      <c r="E38" s="90">
        <v>0</v>
      </c>
      <c r="F38" s="74">
        <v>0</v>
      </c>
      <c r="G38" s="74">
        <v>0</v>
      </c>
      <c r="H38" s="91">
        <v>0</v>
      </c>
      <c r="I38" s="88">
        <f>SUM(B38:H38)</f>
        <v>6</v>
      </c>
      <c r="J38" s="42">
        <v>1.0145833333333334</v>
      </c>
      <c r="K38" s="42">
        <v>0.97847222222222208</v>
      </c>
      <c r="L38" s="42">
        <v>0.62680555555555562</v>
      </c>
      <c r="M38" s="42">
        <v>0.7066944444444444</v>
      </c>
      <c r="N38" s="42">
        <v>0.61913888888888891</v>
      </c>
      <c r="Q38" s="42">
        <f t="shared" si="0"/>
        <v>64.032888623972227</v>
      </c>
      <c r="R38" s="42">
        <f t="shared" si="1"/>
        <v>64.85555944249073</v>
      </c>
      <c r="S38" s="42">
        <f t="shared" si="2"/>
        <v>58.645424539335202</v>
      </c>
      <c r="T38" s="42">
        <f t="shared" si="3"/>
        <v>61.426467392616559</v>
      </c>
      <c r="U38" s="42">
        <f t="shared" si="4"/>
        <v>56.074366650733346</v>
      </c>
      <c r="V38" s="42">
        <f t="shared" si="5"/>
        <v>3.6759786124934948</v>
      </c>
      <c r="W38" s="126">
        <f t="shared" si="6"/>
        <v>61.006941329829615</v>
      </c>
      <c r="X38" s="127">
        <v>52.335219016398312</v>
      </c>
      <c r="Y38" s="69">
        <f t="shared" si="7"/>
        <v>8.6717223134313031</v>
      </c>
    </row>
    <row r="39" spans="1:25" ht="17" x14ac:dyDescent="0.2">
      <c r="A39" s="63" t="s">
        <v>122</v>
      </c>
      <c r="B39" s="89">
        <v>0</v>
      </c>
      <c r="C39" s="74">
        <v>2</v>
      </c>
      <c r="D39" s="74">
        <v>3.5</v>
      </c>
      <c r="E39" s="90">
        <v>0</v>
      </c>
      <c r="F39" s="90">
        <v>0</v>
      </c>
      <c r="G39" s="74">
        <v>0</v>
      </c>
      <c r="H39" s="91">
        <v>0</v>
      </c>
      <c r="I39" s="88">
        <f t="shared" si="8"/>
        <v>5.5</v>
      </c>
      <c r="J39" s="42">
        <v>1.1255833333333334</v>
      </c>
      <c r="K39" s="42">
        <v>1.0524722222222223</v>
      </c>
      <c r="L39" s="42">
        <v>0.61680555555555561</v>
      </c>
      <c r="M39" s="42">
        <v>0.61869444444444444</v>
      </c>
      <c r="N39" s="42">
        <v>0.63813888888888892</v>
      </c>
      <c r="Q39" s="42">
        <f t="shared" si="0"/>
        <v>71.038375905050756</v>
      </c>
      <c r="R39" s="42">
        <f t="shared" si="1"/>
        <v>69.760462504372796</v>
      </c>
      <c r="S39" s="42">
        <f t="shared" si="2"/>
        <v>57.709800660134647</v>
      </c>
      <c r="T39" s="42">
        <f t="shared" si="3"/>
        <v>53.777434386845989</v>
      </c>
      <c r="U39" s="42">
        <f t="shared" si="4"/>
        <v>57.795164658230391</v>
      </c>
      <c r="V39" s="42">
        <f t="shared" si="5"/>
        <v>7.836018332774656</v>
      </c>
      <c r="W39" s="126">
        <f t="shared" si="6"/>
        <v>62.016247622926912</v>
      </c>
      <c r="X39" s="127">
        <v>51.332878021561143</v>
      </c>
      <c r="Y39" s="69">
        <f t="shared" si="7"/>
        <v>10.683369601365769</v>
      </c>
    </row>
    <row r="40" spans="1:25" ht="17" x14ac:dyDescent="0.2">
      <c r="A40" s="63" t="s">
        <v>123</v>
      </c>
      <c r="B40" s="89">
        <v>0</v>
      </c>
      <c r="C40" s="74">
        <v>0</v>
      </c>
      <c r="D40" s="74">
        <v>1</v>
      </c>
      <c r="E40" s="90">
        <v>3.5</v>
      </c>
      <c r="F40" s="74">
        <v>0</v>
      </c>
      <c r="G40" s="74">
        <v>0</v>
      </c>
      <c r="H40" s="91">
        <v>0</v>
      </c>
      <c r="I40" s="88">
        <f t="shared" si="8"/>
        <v>4.5</v>
      </c>
      <c r="J40" s="42">
        <v>1.0555833333333333</v>
      </c>
      <c r="K40" s="42">
        <v>0.97547222222222219</v>
      </c>
      <c r="L40" s="42">
        <v>0.69280555555555556</v>
      </c>
      <c r="M40" s="42">
        <v>0.68969444444444439</v>
      </c>
      <c r="N40" s="42">
        <v>0.67413888888888884</v>
      </c>
      <c r="Q40" s="42">
        <f t="shared" si="0"/>
        <v>66.620501043109343</v>
      </c>
      <c r="R40" s="42">
        <f t="shared" si="1"/>
        <v>64.656712021063086</v>
      </c>
      <c r="S40" s="42">
        <f t="shared" si="2"/>
        <v>64.820542142058898</v>
      </c>
      <c r="T40" s="42">
        <f t="shared" si="3"/>
        <v>59.948813289229065</v>
      </c>
      <c r="U40" s="42">
        <f t="shared" si="4"/>
        <v>61.055624040856358</v>
      </c>
      <c r="V40" s="42">
        <f t="shared" si="5"/>
        <v>2.8006067082613955</v>
      </c>
      <c r="W40" s="126">
        <f t="shared" si="6"/>
        <v>63.420438507263349</v>
      </c>
      <c r="X40" s="127">
        <v>54.848151758275748</v>
      </c>
      <c r="Y40" s="69">
        <f t="shared" si="7"/>
        <v>8.5722867489876009</v>
      </c>
    </row>
    <row r="41" spans="1:25" ht="17" x14ac:dyDescent="0.2">
      <c r="A41" s="63" t="s">
        <v>124</v>
      </c>
      <c r="B41" s="84">
        <v>5.5</v>
      </c>
      <c r="C41" s="85">
        <v>0</v>
      </c>
      <c r="D41" s="85">
        <v>0</v>
      </c>
      <c r="E41" s="86">
        <v>0</v>
      </c>
      <c r="F41" s="85">
        <v>0</v>
      </c>
      <c r="G41" s="85">
        <v>0</v>
      </c>
      <c r="H41" s="88">
        <v>0</v>
      </c>
      <c r="I41" s="88">
        <f t="shared" si="8"/>
        <v>5.5</v>
      </c>
      <c r="J41" s="42">
        <v>0.10058333333333332</v>
      </c>
      <c r="K41" s="42">
        <v>0.13247222222222221</v>
      </c>
      <c r="L41" s="42">
        <v>7.0805555555555552E-2</v>
      </c>
      <c r="M41" s="42">
        <v>8.1694444444444458E-2</v>
      </c>
      <c r="N41" s="42">
        <v>7.9138888888888884E-2</v>
      </c>
      <c r="Q41" s="42">
        <f t="shared" si="0"/>
        <v>6.3480654266229539</v>
      </c>
      <c r="R41" s="42">
        <f t="shared" si="1"/>
        <v>8.7805865998932102</v>
      </c>
      <c r="S41" s="42">
        <f t="shared" si="2"/>
        <v>6.6247368557839765</v>
      </c>
      <c r="T41" s="42">
        <f t="shared" si="3"/>
        <v>7.1009488857232554</v>
      </c>
      <c r="U41" s="42">
        <f t="shared" si="4"/>
        <v>7.167475911343681</v>
      </c>
      <c r="V41" s="42">
        <f t="shared" si="5"/>
        <v>0.9441594111207281</v>
      </c>
      <c r="W41" s="126">
        <f t="shared" si="6"/>
        <v>7.2043627358734152</v>
      </c>
      <c r="X41" s="127">
        <v>14.69859196398721</v>
      </c>
      <c r="Y41" s="69">
        <f t="shared" si="7"/>
        <v>7.4942292281137952</v>
      </c>
    </row>
    <row r="42" spans="1:25" ht="17" x14ac:dyDescent="0.2">
      <c r="A42" s="63" t="s">
        <v>125</v>
      </c>
      <c r="B42" s="84">
        <v>0</v>
      </c>
      <c r="C42" s="85">
        <v>0</v>
      </c>
      <c r="D42" s="85">
        <v>0.5</v>
      </c>
      <c r="E42" s="86">
        <v>4.5</v>
      </c>
      <c r="F42" s="85">
        <v>0</v>
      </c>
      <c r="G42" s="85">
        <v>0</v>
      </c>
      <c r="H42" s="88">
        <v>0</v>
      </c>
      <c r="I42" s="88">
        <f t="shared" si="8"/>
        <v>5</v>
      </c>
      <c r="J42" s="42">
        <v>0.51158333333333339</v>
      </c>
      <c r="K42" s="42">
        <v>0.47647222222222224</v>
      </c>
      <c r="L42" s="42">
        <v>0.14280555555555555</v>
      </c>
      <c r="M42" s="42">
        <v>0.14469444444444446</v>
      </c>
      <c r="N42" s="42">
        <v>0.14613888888888887</v>
      </c>
      <c r="Q42" s="42">
        <f t="shared" si="0"/>
        <v>32.287302116021813</v>
      </c>
      <c r="R42" s="42">
        <f t="shared" si="1"/>
        <v>31.581757590263841</v>
      </c>
      <c r="S42" s="42">
        <f t="shared" si="2"/>
        <v>13.361228786028018</v>
      </c>
      <c r="T42" s="42">
        <f t="shared" si="3"/>
        <v>12.576961151218102</v>
      </c>
      <c r="U42" s="42">
        <f t="shared" si="4"/>
        <v>13.235553095675359</v>
      </c>
      <c r="V42" s="42">
        <f t="shared" si="5"/>
        <v>10.346445082388183</v>
      </c>
      <c r="W42" s="126">
        <f t="shared" si="6"/>
        <v>20.608560547841428</v>
      </c>
      <c r="X42" s="127">
        <v>16.447222081517701</v>
      </c>
      <c r="Y42" s="69">
        <f t="shared" si="7"/>
        <v>4.1613384663237269</v>
      </c>
    </row>
    <row r="43" spans="1:25" ht="17" x14ac:dyDescent="0.2">
      <c r="A43" s="63" t="s">
        <v>126</v>
      </c>
      <c r="B43" s="84">
        <v>0.5</v>
      </c>
      <c r="C43" s="85">
        <v>0</v>
      </c>
      <c r="D43" s="85">
        <v>2.5</v>
      </c>
      <c r="E43" s="86">
        <v>0</v>
      </c>
      <c r="F43" s="85">
        <v>0</v>
      </c>
      <c r="G43" s="85">
        <v>0</v>
      </c>
      <c r="H43" s="88">
        <v>3</v>
      </c>
      <c r="I43" s="88">
        <f t="shared" si="8"/>
        <v>6</v>
      </c>
      <c r="J43" s="42">
        <v>0.38958333333333334</v>
      </c>
      <c r="K43" s="42">
        <v>0.31847222222222221</v>
      </c>
      <c r="L43" s="42">
        <v>0.24080555555555552</v>
      </c>
      <c r="M43" s="42">
        <v>0.26669444444444446</v>
      </c>
      <c r="N43" s="42">
        <v>0.24413888888888885</v>
      </c>
      <c r="Q43" s="42">
        <f t="shared" si="0"/>
        <v>24.587577356638207</v>
      </c>
      <c r="R43" s="42">
        <f t="shared" si="1"/>
        <v>21.109126728407563</v>
      </c>
      <c r="S43" s="42">
        <f t="shared" si="2"/>
        <v>22.53034280219352</v>
      </c>
      <c r="T43" s="42">
        <f t="shared" si="3"/>
        <v>23.181302363763674</v>
      </c>
      <c r="U43" s="42">
        <f t="shared" si="4"/>
        <v>22.111248081712741</v>
      </c>
      <c r="V43" s="42">
        <f t="shared" si="5"/>
        <v>1.2942964868886844</v>
      </c>
      <c r="W43" s="126">
        <f t="shared" si="6"/>
        <v>22.703919466543141</v>
      </c>
      <c r="X43" s="127">
        <v>16.582487017218611</v>
      </c>
      <c r="Y43" s="69">
        <f t="shared" si="7"/>
        <v>6.12143244932453</v>
      </c>
    </row>
    <row r="44" spans="1:25" ht="17" x14ac:dyDescent="0.2">
      <c r="A44" s="63" t="s">
        <v>127</v>
      </c>
      <c r="B44" s="84">
        <v>3</v>
      </c>
      <c r="C44" s="85">
        <v>3</v>
      </c>
      <c r="D44" s="85">
        <v>0</v>
      </c>
      <c r="E44" s="86">
        <v>0</v>
      </c>
      <c r="F44" s="85">
        <v>0</v>
      </c>
      <c r="G44" s="85">
        <v>0</v>
      </c>
      <c r="H44" s="88">
        <v>0</v>
      </c>
      <c r="I44" s="88">
        <f t="shared" si="8"/>
        <v>6</v>
      </c>
      <c r="J44" s="42">
        <v>0.20858333333333334</v>
      </c>
      <c r="K44" s="42">
        <v>0.3074722222222222</v>
      </c>
      <c r="L44" s="42">
        <v>0.2508055555555555</v>
      </c>
      <c r="M44" s="42">
        <v>0.35469444444444448</v>
      </c>
      <c r="N44" s="42">
        <v>0.35313888888888889</v>
      </c>
      <c r="Q44" s="42">
        <f t="shared" si="0"/>
        <v>13.164215213618274</v>
      </c>
      <c r="R44" s="42">
        <f t="shared" si="1"/>
        <v>20.380019516506174</v>
      </c>
      <c r="S44" s="42">
        <f t="shared" si="2"/>
        <v>23.465966681394079</v>
      </c>
      <c r="T44" s="42">
        <f t="shared" si="3"/>
        <v>30.830335369534257</v>
      </c>
      <c r="U44" s="42">
        <f t="shared" si="4"/>
        <v>31.983194545774733</v>
      </c>
      <c r="V44" s="42">
        <f t="shared" si="5"/>
        <v>7.7650232535068593</v>
      </c>
      <c r="W44" s="126">
        <f t="shared" si="6"/>
        <v>23.964746265365502</v>
      </c>
      <c r="X44" s="127">
        <v>19.217714843702669</v>
      </c>
      <c r="Y44" s="69">
        <f t="shared" si="7"/>
        <v>4.7470314216628324</v>
      </c>
    </row>
    <row r="45" spans="1:25" ht="17" x14ac:dyDescent="0.2">
      <c r="A45" s="63" t="s">
        <v>128</v>
      </c>
      <c r="B45" s="84">
        <v>0.5</v>
      </c>
      <c r="C45" s="85">
        <v>0</v>
      </c>
      <c r="D45" s="85">
        <v>4</v>
      </c>
      <c r="E45" s="86">
        <v>0</v>
      </c>
      <c r="F45" s="85">
        <v>0.5</v>
      </c>
      <c r="G45" s="85">
        <v>0.5</v>
      </c>
      <c r="H45" s="88">
        <v>0</v>
      </c>
      <c r="I45" s="92">
        <f t="shared" si="8"/>
        <v>5.5</v>
      </c>
      <c r="J45" s="42">
        <v>1.1125833333333333</v>
      </c>
      <c r="K45" s="42">
        <v>1.2214722222222223</v>
      </c>
      <c r="L45" s="42">
        <v>0.65980555555555553</v>
      </c>
      <c r="M45" s="42">
        <v>0.73669444444444443</v>
      </c>
      <c r="N45" s="42">
        <v>0.68813888888888886</v>
      </c>
      <c r="Q45" s="42">
        <f t="shared" si="0"/>
        <v>70.217913430690189</v>
      </c>
      <c r="R45" s="42">
        <f t="shared" si="1"/>
        <v>80.962200578130464</v>
      </c>
      <c r="S45" s="42">
        <f t="shared" si="2"/>
        <v>61.732983340697047</v>
      </c>
      <c r="T45" s="42">
        <f t="shared" si="3"/>
        <v>64.034092280947448</v>
      </c>
      <c r="U45" s="42">
        <f t="shared" si="4"/>
        <v>62.323580467433139</v>
      </c>
      <c r="V45" s="42">
        <f t="shared" si="5"/>
        <v>8.0631428289071696</v>
      </c>
      <c r="W45" s="126">
        <f t="shared" si="6"/>
        <v>67.854154019579653</v>
      </c>
      <c r="X45" s="127">
        <v>73.67409344414699</v>
      </c>
      <c r="Y45" s="69">
        <f t="shared" si="7"/>
        <v>5.8199394245673375</v>
      </c>
    </row>
    <row r="46" spans="1:25" ht="17" x14ac:dyDescent="0.2">
      <c r="A46" s="63" t="s">
        <v>129</v>
      </c>
      <c r="B46" s="84">
        <v>0.5</v>
      </c>
      <c r="C46" s="85">
        <v>0.5</v>
      </c>
      <c r="D46" s="85">
        <v>4</v>
      </c>
      <c r="E46" s="85">
        <v>0</v>
      </c>
      <c r="F46" s="85">
        <v>0</v>
      </c>
      <c r="G46" s="85">
        <v>0.5</v>
      </c>
      <c r="H46" s="88">
        <v>0</v>
      </c>
      <c r="I46" s="92">
        <f t="shared" si="8"/>
        <v>5.5</v>
      </c>
      <c r="J46" s="42">
        <v>1.1805833333333333</v>
      </c>
      <c r="K46" s="42">
        <v>1.2154722222222223</v>
      </c>
      <c r="L46" s="42">
        <v>0.7338055555555556</v>
      </c>
      <c r="M46" s="42">
        <v>0.72169444444444442</v>
      </c>
      <c r="N46" s="42">
        <v>0.71413888888888888</v>
      </c>
      <c r="Q46" s="42">
        <f t="shared" si="0"/>
        <v>74.509563296576147</v>
      </c>
      <c r="R46" s="42">
        <f t="shared" si="1"/>
        <v>80.564505735275162</v>
      </c>
      <c r="S46" s="42">
        <f t="shared" si="2"/>
        <v>68.656600046781207</v>
      </c>
      <c r="T46" s="42">
        <f t="shared" si="3"/>
        <v>62.730279836781996</v>
      </c>
      <c r="U46" s="42">
        <f t="shared" si="4"/>
        <v>64.678356688218557</v>
      </c>
      <c r="V46" s="42">
        <f t="shared" si="5"/>
        <v>7.3256191091338723</v>
      </c>
      <c r="W46" s="126">
        <f t="shared" si="6"/>
        <v>70.227861120726615</v>
      </c>
      <c r="X46" s="127">
        <v>72.883168091528148</v>
      </c>
      <c r="Y46" s="69">
        <f t="shared" si="7"/>
        <v>2.6553069708015329</v>
      </c>
    </row>
    <row r="47" spans="1:25" x14ac:dyDescent="0.2">
      <c r="A47" s="93" t="s">
        <v>72</v>
      </c>
      <c r="B47" s="94"/>
      <c r="C47" s="94"/>
      <c r="D47" s="94"/>
      <c r="E47" s="94"/>
      <c r="F47" s="94"/>
      <c r="G47" s="94"/>
      <c r="H47" s="94"/>
      <c r="I47" s="95"/>
      <c r="J47" s="96">
        <f>B74</f>
        <v>1.5844722222222223</v>
      </c>
      <c r="K47" s="96">
        <f>D74</f>
        <v>1.5086944444444446</v>
      </c>
      <c r="L47" s="96">
        <f>F74</f>
        <v>1.0688055555555553</v>
      </c>
      <c r="M47" s="96">
        <f>H74</f>
        <v>1.1504722222222221</v>
      </c>
      <c r="N47" s="96">
        <f>J74</f>
        <v>1.104138888888889</v>
      </c>
      <c r="S47" s="78" t="s">
        <v>71</v>
      </c>
    </row>
    <row r="48" spans="1:25" x14ac:dyDescent="0.2">
      <c r="A48" s="97" t="s">
        <v>73</v>
      </c>
      <c r="B48" s="98"/>
      <c r="C48" s="98"/>
      <c r="D48" s="98"/>
      <c r="E48" s="98"/>
      <c r="F48" s="98"/>
      <c r="G48" s="98"/>
      <c r="H48" s="98"/>
      <c r="I48" s="99"/>
      <c r="J48" s="96">
        <f>B75</f>
        <v>0.12069221644791812</v>
      </c>
      <c r="K48" s="96">
        <f>D75</f>
        <v>0.12416096183762607</v>
      </c>
      <c r="L48" s="96">
        <f>F75</f>
        <v>5.8949130612757965E-2</v>
      </c>
      <c r="M48" s="96">
        <f>H75</f>
        <v>0.1002132448553805</v>
      </c>
      <c r="N48" s="96">
        <f>J75</f>
        <v>6.8778630402182309E-2</v>
      </c>
      <c r="R48" s="78" t="s">
        <v>45</v>
      </c>
      <c r="S48" s="100">
        <v>80</v>
      </c>
    </row>
    <row r="49" spans="1:24" x14ac:dyDescent="0.2">
      <c r="A49" s="101" t="s">
        <v>74</v>
      </c>
      <c r="B49" s="102"/>
      <c r="C49" s="102"/>
      <c r="D49" s="102"/>
      <c r="E49" s="102"/>
      <c r="F49" s="102"/>
      <c r="G49" s="102"/>
      <c r="H49" s="102"/>
      <c r="I49" s="103"/>
      <c r="J49" s="104">
        <f>B77</f>
        <v>1.9465488715659767</v>
      </c>
      <c r="K49" s="104">
        <f>D77</f>
        <v>1.8811773299573229</v>
      </c>
      <c r="L49" s="104">
        <f>F77</f>
        <v>1.2456529473938291</v>
      </c>
      <c r="M49" s="104">
        <f>H77</f>
        <v>1.4511119567883637</v>
      </c>
      <c r="N49" s="104">
        <f>J77</f>
        <v>1.3104747800954359</v>
      </c>
    </row>
    <row r="50" spans="1:24" x14ac:dyDescent="0.2">
      <c r="A50" s="101" t="s">
        <v>75</v>
      </c>
      <c r="B50" s="102"/>
      <c r="C50" s="102"/>
      <c r="D50" s="102"/>
      <c r="E50" s="102"/>
      <c r="F50" s="102"/>
      <c r="G50" s="102"/>
      <c r="H50" s="102"/>
      <c r="I50" s="103"/>
      <c r="J50" s="104">
        <f>B78</f>
        <v>1.2223955728784679</v>
      </c>
      <c r="K50" s="104">
        <f>D78</f>
        <v>1.1362115589315662</v>
      </c>
      <c r="L50" s="104">
        <f>F78</f>
        <v>0.89195816371728143</v>
      </c>
      <c r="M50" s="104">
        <f>H78</f>
        <v>0.84983248765608066</v>
      </c>
      <c r="N50" s="104">
        <f>J78</f>
        <v>0.89780299768234206</v>
      </c>
    </row>
    <row r="51" spans="1:24" x14ac:dyDescent="0.2">
      <c r="A51" s="105" t="s">
        <v>51</v>
      </c>
      <c r="B51" s="106"/>
      <c r="C51" s="106"/>
      <c r="D51" s="106"/>
      <c r="E51" s="106"/>
      <c r="F51" s="106"/>
      <c r="G51" s="106"/>
      <c r="H51" s="106"/>
      <c r="I51" s="107"/>
      <c r="J51" s="108">
        <f>B79</f>
        <v>1.2675777777777779</v>
      </c>
      <c r="K51" s="108">
        <f>D79</f>
        <v>1.2069555555555556</v>
      </c>
      <c r="L51" s="108">
        <f>F79</f>
        <v>0.85504444444444427</v>
      </c>
      <c r="M51" s="108">
        <f>H79</f>
        <v>0.92037777777777774</v>
      </c>
      <c r="N51" s="108">
        <f>J79</f>
        <v>0.88331111111111116</v>
      </c>
    </row>
    <row r="52" spans="1:24" x14ac:dyDescent="0.2">
      <c r="A52" s="109" t="s">
        <v>76</v>
      </c>
      <c r="B52" s="110"/>
      <c r="C52" s="110"/>
      <c r="D52" s="110"/>
      <c r="E52" s="110"/>
      <c r="F52" s="110"/>
      <c r="G52" s="110"/>
      <c r="H52" s="110"/>
      <c r="I52" s="111"/>
      <c r="J52" s="112">
        <f>B80</f>
        <v>0.60397553985955188</v>
      </c>
      <c r="K52" s="112">
        <f>D80</f>
        <v>0.57237614910478096</v>
      </c>
      <c r="L52" s="112">
        <f>F80</f>
        <v>0.78542461591557988</v>
      </c>
      <c r="M52" s="112">
        <f>H80</f>
        <v>0.69084195325005826</v>
      </c>
      <c r="N52" s="112">
        <f>J80</f>
        <v>0.75704803183715597</v>
      </c>
    </row>
    <row r="53" spans="1:24" x14ac:dyDescent="0.2">
      <c r="A53" s="143" t="s">
        <v>77</v>
      </c>
      <c r="B53" s="144"/>
      <c r="C53" s="144"/>
      <c r="D53" s="144"/>
      <c r="E53" s="144"/>
      <c r="F53" s="144"/>
      <c r="G53" s="144"/>
      <c r="H53" s="144"/>
      <c r="I53" s="144"/>
      <c r="J53" s="70" t="s">
        <v>131</v>
      </c>
      <c r="K53" s="70" t="s">
        <v>131</v>
      </c>
      <c r="L53" s="70" t="s">
        <v>131</v>
      </c>
      <c r="M53" s="70" t="s">
        <v>131</v>
      </c>
      <c r="N53" s="70" t="s">
        <v>131</v>
      </c>
    </row>
    <row r="55" spans="1:24" x14ac:dyDescent="0.2">
      <c r="A55" s="78" t="s">
        <v>78</v>
      </c>
    </row>
    <row r="56" spans="1:24" x14ac:dyDescent="0.2">
      <c r="A56" s="77" t="s">
        <v>79</v>
      </c>
      <c r="B56" s="77"/>
      <c r="C56" s="77"/>
      <c r="D56" s="77"/>
      <c r="E56" s="77"/>
      <c r="F56" s="77"/>
      <c r="G56" s="100">
        <v>3</v>
      </c>
    </row>
    <row r="57" spans="1:24" x14ac:dyDescent="0.2">
      <c r="A57" s="77" t="s">
        <v>80</v>
      </c>
      <c r="B57" s="77"/>
      <c r="C57" s="77"/>
      <c r="D57" s="77"/>
      <c r="E57" s="77"/>
      <c r="F57" s="77"/>
      <c r="G57" s="100">
        <v>20</v>
      </c>
    </row>
    <row r="58" spans="1:24" x14ac:dyDescent="0.2">
      <c r="A58" s="77"/>
      <c r="B58" s="77"/>
      <c r="C58" s="77"/>
      <c r="D58" s="77"/>
      <c r="E58" s="77"/>
      <c r="F58" s="77"/>
    </row>
    <row r="60" spans="1:24" x14ac:dyDescent="0.2">
      <c r="O60" s="137" t="s">
        <v>82</v>
      </c>
      <c r="P60" s="138"/>
      <c r="Q60" s="138"/>
      <c r="R60" s="138"/>
      <c r="S60" s="138"/>
      <c r="T60" s="138"/>
      <c r="U60" s="138"/>
      <c r="V60" s="138"/>
      <c r="W60" s="138"/>
      <c r="X60" s="139"/>
    </row>
    <row r="61" spans="1:24" x14ac:dyDescent="0.2">
      <c r="B61" s="135" t="s">
        <v>81</v>
      </c>
      <c r="C61" s="136"/>
      <c r="D61" s="136"/>
      <c r="E61" s="136"/>
      <c r="F61" s="136"/>
      <c r="G61" s="136"/>
      <c r="H61" s="136"/>
      <c r="I61" s="136"/>
      <c r="J61" s="136"/>
      <c r="K61" s="136"/>
      <c r="L61" s="75"/>
      <c r="M61" s="75"/>
      <c r="N61" s="75"/>
      <c r="O61" s="140" t="s">
        <v>83</v>
      </c>
      <c r="P61" s="141"/>
      <c r="Q61" s="141"/>
      <c r="R61" s="141"/>
      <c r="S61" s="141"/>
      <c r="T61" s="141"/>
      <c r="U61" s="141"/>
      <c r="V61" s="141"/>
      <c r="W61" s="141"/>
      <c r="X61" s="142"/>
    </row>
    <row r="62" spans="1:24" ht="16" customHeight="1" x14ac:dyDescent="0.2">
      <c r="B62" s="145" t="s">
        <v>87</v>
      </c>
      <c r="C62" s="146"/>
      <c r="D62" s="146"/>
      <c r="E62" s="147"/>
      <c r="F62" s="148" t="s">
        <v>135</v>
      </c>
      <c r="G62" s="148"/>
      <c r="H62" s="148"/>
      <c r="I62" s="148"/>
      <c r="J62" s="148"/>
      <c r="K62" s="148"/>
      <c r="L62" s="75"/>
      <c r="M62" s="75"/>
      <c r="O62" s="145" t="s">
        <v>87</v>
      </c>
      <c r="P62" s="146"/>
      <c r="Q62" s="146"/>
      <c r="R62" s="147"/>
      <c r="S62" s="149" t="s">
        <v>138</v>
      </c>
      <c r="T62" s="150"/>
      <c r="U62" s="150"/>
      <c r="V62" s="150"/>
      <c r="W62" s="150"/>
      <c r="X62" s="151"/>
    </row>
    <row r="63" spans="1:24" ht="16" customHeight="1" x14ac:dyDescent="0.2">
      <c r="B63" s="165" t="s">
        <v>132</v>
      </c>
      <c r="C63" s="166"/>
      <c r="D63" s="163" t="s">
        <v>133</v>
      </c>
      <c r="E63" s="164"/>
      <c r="F63" s="165" t="s">
        <v>134</v>
      </c>
      <c r="G63" s="166"/>
      <c r="H63" s="163" t="s">
        <v>136</v>
      </c>
      <c r="I63" s="164"/>
      <c r="J63" s="165" t="s">
        <v>137</v>
      </c>
      <c r="K63" s="166"/>
      <c r="O63" s="165" t="s">
        <v>132</v>
      </c>
      <c r="P63" s="166"/>
      <c r="Q63" s="163" t="s">
        <v>133</v>
      </c>
      <c r="R63" s="164"/>
      <c r="S63" s="165" t="s">
        <v>134</v>
      </c>
      <c r="T63" s="166"/>
      <c r="U63" s="163" t="s">
        <v>136</v>
      </c>
      <c r="V63" s="164"/>
      <c r="W63" s="165" t="s">
        <v>137</v>
      </c>
      <c r="X63" s="166"/>
    </row>
    <row r="64" spans="1:24" x14ac:dyDescent="0.2">
      <c r="B64" s="113" t="s">
        <v>47</v>
      </c>
      <c r="C64" s="113" t="s">
        <v>4</v>
      </c>
      <c r="D64" s="114" t="s">
        <v>47</v>
      </c>
      <c r="E64" s="114" t="s">
        <v>4</v>
      </c>
      <c r="F64" s="113" t="s">
        <v>47</v>
      </c>
      <c r="G64" s="113" t="s">
        <v>4</v>
      </c>
      <c r="H64" s="114" t="s">
        <v>47</v>
      </c>
      <c r="I64" s="114" t="s">
        <v>4</v>
      </c>
      <c r="J64" s="113" t="s">
        <v>47</v>
      </c>
      <c r="K64" s="113" t="s">
        <v>4</v>
      </c>
      <c r="O64" s="113" t="s">
        <v>47</v>
      </c>
      <c r="P64" s="113" t="s">
        <v>4</v>
      </c>
      <c r="Q64" s="114" t="s">
        <v>47</v>
      </c>
      <c r="R64" s="114" t="s">
        <v>4</v>
      </c>
      <c r="S64" s="113" t="s">
        <v>47</v>
      </c>
      <c r="T64" s="113" t="s">
        <v>4</v>
      </c>
      <c r="U64" s="114" t="s">
        <v>47</v>
      </c>
      <c r="V64" s="114" t="s">
        <v>4</v>
      </c>
      <c r="W64" s="113" t="s">
        <v>47</v>
      </c>
      <c r="X64" s="113" t="s">
        <v>4</v>
      </c>
    </row>
    <row r="65" spans="1:24" x14ac:dyDescent="0.2">
      <c r="B65" s="70">
        <v>1.5875833333333333</v>
      </c>
      <c r="C65" s="70">
        <v>0.15458333333333335</v>
      </c>
      <c r="D65" s="71">
        <v>1.5034722222222223</v>
      </c>
      <c r="E65" s="71">
        <v>0.23547222222222225</v>
      </c>
      <c r="F65" s="70">
        <v>1.0408055555555555</v>
      </c>
      <c r="G65" s="70">
        <v>5.8805555555555541E-2</v>
      </c>
      <c r="H65" s="71">
        <v>1.0906944444444444</v>
      </c>
      <c r="I65" s="71">
        <v>4.9694444444444451E-2</v>
      </c>
      <c r="J65" s="70">
        <v>1.029138888888889</v>
      </c>
      <c r="K65" s="70">
        <v>4.6138888888888882E-2</v>
      </c>
      <c r="O65" s="72">
        <f t="shared" ref="O65:O73" si="9">B65/ $B$74*100</f>
        <v>100.19634999386406</v>
      </c>
      <c r="P65" s="72">
        <f t="shared" ref="P65:P73" si="10">C65/ $B$74*100</f>
        <v>9.7561403201206147</v>
      </c>
      <c r="Q65" s="73">
        <f t="shared" ref="Q65:Q73" si="11">D65/ $D$74*100</f>
        <v>99.65385819232965</v>
      </c>
      <c r="R65" s="73">
        <f t="shared" ref="R65:R73" si="12">E65/ $D$74*100</f>
        <v>15.607681402242557</v>
      </c>
      <c r="S65" s="72">
        <f t="shared" ref="S65:S73" si="13">F65/ $F$74*100</f>
        <v>97.380253138238444</v>
      </c>
      <c r="T65" s="72">
        <f t="shared" ref="T65:T73" si="14">G65/ $F$74*100</f>
        <v>5.501988200743301</v>
      </c>
      <c r="U65" s="73">
        <f t="shared" ref="U65:U73" si="15">H65/ $H$74*100</f>
        <v>94.804065963251816</v>
      </c>
      <c r="V65" s="73">
        <f t="shared" ref="V65:V73" si="16">I65/ $H$74*100</f>
        <v>4.3194823381703173</v>
      </c>
      <c r="W65" s="72">
        <f t="shared" ref="W65:W73" si="17">J65/ $J$74*100</f>
        <v>93.207376286195881</v>
      </c>
      <c r="X65" s="72">
        <f t="shared" ref="X65:X73" si="18">K65/ $J$74*100</f>
        <v>4.1787214772698675</v>
      </c>
    </row>
    <row r="66" spans="1:24" x14ac:dyDescent="0.2">
      <c r="B66" s="70">
        <v>1.5645833333333334</v>
      </c>
      <c r="C66" s="70">
        <v>0.10158333333333332</v>
      </c>
      <c r="D66" s="71">
        <v>1.6804722222222224</v>
      </c>
      <c r="E66" s="71">
        <v>0.11947222222222223</v>
      </c>
      <c r="F66" s="70">
        <v>0.98980555555555549</v>
      </c>
      <c r="G66" s="70">
        <v>1.380555555555555E-2</v>
      </c>
      <c r="H66" s="71">
        <v>1.0746944444444444</v>
      </c>
      <c r="I66" s="71">
        <v>4.6694444444444448E-2</v>
      </c>
      <c r="J66" s="70">
        <v>1.116138888888889</v>
      </c>
      <c r="K66" s="70">
        <v>5.913888888888888E-2</v>
      </c>
      <c r="O66" s="72">
        <f t="shared" si="9"/>
        <v>98.744762539226173</v>
      </c>
      <c r="P66" s="72">
        <f t="shared" si="10"/>
        <v>6.4111779246506888</v>
      </c>
      <c r="Q66" s="73">
        <f t="shared" si="11"/>
        <v>111.38585605656104</v>
      </c>
      <c r="R66" s="73">
        <f t="shared" si="12"/>
        <v>7.9189144403733911</v>
      </c>
      <c r="S66" s="72">
        <f t="shared" si="13"/>
        <v>92.608571354315586</v>
      </c>
      <c r="T66" s="72">
        <f t="shared" si="14"/>
        <v>1.2916807443407747</v>
      </c>
      <c r="U66" s="73">
        <f t="shared" si="15"/>
        <v>93.41333268947534</v>
      </c>
      <c r="V66" s="73">
        <f t="shared" si="16"/>
        <v>4.058719849337229</v>
      </c>
      <c r="W66" s="72">
        <f t="shared" si="17"/>
        <v>101.08681979420867</v>
      </c>
      <c r="X66" s="72">
        <f t="shared" si="18"/>
        <v>5.3561095876625817</v>
      </c>
    </row>
    <row r="67" spans="1:24" x14ac:dyDescent="0.2">
      <c r="B67" s="70">
        <v>1.5845833333333332</v>
      </c>
      <c r="C67" s="70">
        <v>8.5583333333333331E-2</v>
      </c>
      <c r="D67" s="71">
        <v>1.5124722222222222</v>
      </c>
      <c r="E67" s="71">
        <v>9.2472222222222233E-2</v>
      </c>
      <c r="F67" s="70">
        <v>1.0508055555555555</v>
      </c>
      <c r="G67" s="70">
        <v>2.7805555555555542E-2</v>
      </c>
      <c r="H67" s="71">
        <v>1.1386944444444445</v>
      </c>
      <c r="I67" s="71">
        <v>3.4694444444444451E-2</v>
      </c>
      <c r="J67" s="70">
        <v>1.0871388888888889</v>
      </c>
      <c r="K67" s="70">
        <v>5.1138888888888887E-2</v>
      </c>
      <c r="O67" s="72">
        <f t="shared" si="9"/>
        <v>100.00701249978086</v>
      </c>
      <c r="P67" s="72">
        <f t="shared" si="10"/>
        <v>5.4013779562069386</v>
      </c>
      <c r="Q67" s="73">
        <f t="shared" si="11"/>
        <v>100.2504004566126</v>
      </c>
      <c r="R67" s="73">
        <f t="shared" si="12"/>
        <v>6.1292876475245341</v>
      </c>
      <c r="S67" s="72">
        <f t="shared" si="13"/>
        <v>98.315877017439007</v>
      </c>
      <c r="T67" s="72">
        <f t="shared" si="14"/>
        <v>2.6015541752215601</v>
      </c>
      <c r="U67" s="73">
        <f t="shared" si="15"/>
        <v>98.976265784581216</v>
      </c>
      <c r="V67" s="73">
        <f t="shared" si="16"/>
        <v>3.0156698940048781</v>
      </c>
      <c r="W67" s="72">
        <f t="shared" si="17"/>
        <v>98.460338624871056</v>
      </c>
      <c r="X67" s="72">
        <f t="shared" si="18"/>
        <v>4.6315630581901424</v>
      </c>
    </row>
    <row r="68" spans="1:24" x14ac:dyDescent="0.2">
      <c r="B68" s="70">
        <v>1.4775833333333332</v>
      </c>
      <c r="C68" s="70">
        <v>0.29158333333333336</v>
      </c>
      <c r="D68" s="71">
        <v>1.3664722222222223</v>
      </c>
      <c r="E68" s="71">
        <v>0.19647222222222221</v>
      </c>
      <c r="F68" s="70">
        <v>1.1148055555555554</v>
      </c>
      <c r="G68" s="70">
        <v>1.9805555555555548E-2</v>
      </c>
      <c r="H68" s="71">
        <v>1.0946944444444444</v>
      </c>
      <c r="I68" s="71">
        <v>5.5694444444444456E-2</v>
      </c>
      <c r="J68" s="70">
        <v>1.072138888888889</v>
      </c>
      <c r="K68" s="70">
        <v>4.1138888888888892E-2</v>
      </c>
      <c r="O68" s="72">
        <f t="shared" si="9"/>
        <v>93.253975210813266</v>
      </c>
      <c r="P68" s="72">
        <f t="shared" si="10"/>
        <v>18.402552549920234</v>
      </c>
      <c r="Q68" s="73">
        <f t="shared" si="11"/>
        <v>90.573159280466925</v>
      </c>
      <c r="R68" s="73">
        <f t="shared" si="12"/>
        <v>13.022664923683095</v>
      </c>
      <c r="S68" s="72">
        <f t="shared" si="13"/>
        <v>104.30386984432258</v>
      </c>
      <c r="T68" s="72">
        <f t="shared" si="14"/>
        <v>1.8530550718611114</v>
      </c>
      <c r="U68" s="73">
        <f t="shared" si="15"/>
        <v>95.151749281695928</v>
      </c>
      <c r="V68" s="73">
        <f t="shared" si="16"/>
        <v>4.8410073158364941</v>
      </c>
      <c r="W68" s="72">
        <f t="shared" si="17"/>
        <v>97.10181388211025</v>
      </c>
      <c r="X68" s="72">
        <f t="shared" si="18"/>
        <v>3.725879896349594</v>
      </c>
    </row>
    <row r="69" spans="1:24" x14ac:dyDescent="0.2">
      <c r="B69" s="70">
        <v>1.6055833333333334</v>
      </c>
      <c r="C69" s="70">
        <v>0.10858333333333332</v>
      </c>
      <c r="D69" s="71">
        <v>1.4544722222222224</v>
      </c>
      <c r="E69" s="71">
        <v>0.13147222222222221</v>
      </c>
      <c r="F69" s="70">
        <v>1.1538055555555555</v>
      </c>
      <c r="G69" s="70">
        <v>1.0805555555555547E-2</v>
      </c>
      <c r="H69" s="71">
        <v>1.1956944444444444</v>
      </c>
      <c r="I69" s="71">
        <v>3.5694444444444452E-2</v>
      </c>
      <c r="J69" s="70">
        <v>1.1491388888888889</v>
      </c>
      <c r="K69" s="70">
        <v>1.8138888888888885E-2</v>
      </c>
      <c r="O69" s="72">
        <f t="shared" si="9"/>
        <v>101.33237495836329</v>
      </c>
      <c r="P69" s="72">
        <f t="shared" si="10"/>
        <v>6.8529654108448304</v>
      </c>
      <c r="Q69" s="73">
        <f t="shared" si="11"/>
        <v>96.406016975678028</v>
      </c>
      <c r="R69" s="73">
        <f t="shared" si="12"/>
        <v>8.7143041260839933</v>
      </c>
      <c r="S69" s="72">
        <f t="shared" si="13"/>
        <v>107.9528029732048</v>
      </c>
      <c r="T69" s="72">
        <f t="shared" si="14"/>
        <v>1.0109935805806061</v>
      </c>
      <c r="U69" s="73">
        <f t="shared" si="15"/>
        <v>103.93075307240989</v>
      </c>
      <c r="V69" s="73">
        <f t="shared" si="16"/>
        <v>3.1025907236159074</v>
      </c>
      <c r="W69" s="72">
        <f t="shared" si="17"/>
        <v>104.07557422828246</v>
      </c>
      <c r="X69" s="72">
        <f t="shared" si="18"/>
        <v>1.6428086241163296</v>
      </c>
    </row>
    <row r="70" spans="1:24" x14ac:dyDescent="0.2">
      <c r="B70" s="70">
        <v>1.7405833333333334</v>
      </c>
      <c r="C70" s="70">
        <v>0.16058333333333336</v>
      </c>
      <c r="D70" s="71">
        <v>1.5874722222222222</v>
      </c>
      <c r="E70" s="71">
        <v>0.25647222222222221</v>
      </c>
      <c r="F70" s="70">
        <v>1.1548055555555554</v>
      </c>
      <c r="G70" s="70">
        <v>1.380555555555555E-2</v>
      </c>
      <c r="H70" s="71">
        <v>1.3446944444444444</v>
      </c>
      <c r="I70" s="71">
        <v>1.769444444444445E-2</v>
      </c>
      <c r="J70" s="70">
        <v>1.2481388888888889</v>
      </c>
      <c r="K70" s="70">
        <v>5.6138888888888891E-2</v>
      </c>
      <c r="O70" s="72">
        <f t="shared" si="9"/>
        <v>109.85256219210744</v>
      </c>
      <c r="P70" s="72">
        <f t="shared" si="10"/>
        <v>10.134815308287022</v>
      </c>
      <c r="Q70" s="73">
        <f t="shared" si="11"/>
        <v>105.22158599230387</v>
      </c>
      <c r="R70" s="73">
        <f t="shared" si="12"/>
        <v>16.999613352236111</v>
      </c>
      <c r="S70" s="72">
        <f t="shared" si="13"/>
        <v>108.04636536112484</v>
      </c>
      <c r="T70" s="72">
        <f t="shared" si="14"/>
        <v>1.2916807443407747</v>
      </c>
      <c r="U70" s="73">
        <f t="shared" si="15"/>
        <v>116.88195668445324</v>
      </c>
      <c r="V70" s="73">
        <f t="shared" si="16"/>
        <v>1.5380157906173799</v>
      </c>
      <c r="W70" s="72">
        <f t="shared" si="17"/>
        <v>113.0418375305039</v>
      </c>
      <c r="X70" s="72">
        <f t="shared" si="18"/>
        <v>5.0844046391104172</v>
      </c>
    </row>
    <row r="71" spans="1:24" x14ac:dyDescent="0.2">
      <c r="B71" s="70">
        <v>1.3725833333333333</v>
      </c>
      <c r="C71" s="70">
        <v>0.11358333333333333</v>
      </c>
      <c r="D71" s="71">
        <v>1.3174722222222224</v>
      </c>
      <c r="E71" s="71">
        <v>6.1472222222222213E-2</v>
      </c>
      <c r="F71" s="70">
        <v>1.0138055555555554</v>
      </c>
      <c r="G71" s="70">
        <v>2.8805555555555543E-2</v>
      </c>
      <c r="H71" s="71">
        <v>1.0466944444444444</v>
      </c>
      <c r="I71" s="71">
        <v>2.5694444444444457E-2</v>
      </c>
      <c r="J71" s="70">
        <v>1.015138888888889</v>
      </c>
      <c r="K71" s="70">
        <v>3.3138888888888884E-2</v>
      </c>
      <c r="O71" s="72">
        <f t="shared" si="9"/>
        <v>86.627162917901146</v>
      </c>
      <c r="P71" s="72">
        <f t="shared" si="10"/>
        <v>7.168527900983503</v>
      </c>
      <c r="Q71" s="73">
        <f t="shared" si="11"/>
        <v>87.325318063815288</v>
      </c>
      <c r="R71" s="73">
        <f t="shared" si="12"/>
        <v>4.0745309594388077</v>
      </c>
      <c r="S71" s="72">
        <f t="shared" si="13"/>
        <v>94.85406866439692</v>
      </c>
      <c r="T71" s="72">
        <f t="shared" si="14"/>
        <v>2.6951165631416165</v>
      </c>
      <c r="U71" s="73">
        <f t="shared" si="15"/>
        <v>90.979549460366513</v>
      </c>
      <c r="V71" s="73">
        <f t="shared" si="16"/>
        <v>2.2333824275056151</v>
      </c>
      <c r="W71" s="72">
        <f t="shared" si="17"/>
        <v>91.939419859619107</v>
      </c>
      <c r="X71" s="72">
        <f t="shared" si="18"/>
        <v>3.0013333668771534</v>
      </c>
    </row>
    <row r="72" spans="1:24" x14ac:dyDescent="0.2">
      <c r="B72" s="70">
        <v>1.5575833333333333</v>
      </c>
      <c r="C72" s="70">
        <v>0.20958333333333334</v>
      </c>
      <c r="D72" s="71">
        <v>1.4824722222222222</v>
      </c>
      <c r="E72" s="71">
        <v>0.20647222222222222</v>
      </c>
      <c r="F72" s="70">
        <v>1.0518055555555554</v>
      </c>
      <c r="G72" s="70">
        <v>8.8055555555555456E-3</v>
      </c>
      <c r="H72" s="71">
        <v>1.0976944444444443</v>
      </c>
      <c r="I72" s="71">
        <v>1.6694444444444449E-2</v>
      </c>
      <c r="J72" s="70">
        <v>1.108138888888889</v>
      </c>
      <c r="K72" s="70">
        <v>8.138888888888883E-3</v>
      </c>
      <c r="O72" s="72">
        <f t="shared" si="9"/>
        <v>98.302975053032029</v>
      </c>
      <c r="P72" s="72">
        <f t="shared" si="10"/>
        <v>13.227327711646009</v>
      </c>
      <c r="Q72" s="73">
        <f t="shared" si="11"/>
        <v>98.261926242336088</v>
      </c>
      <c r="R72" s="73">
        <f t="shared" si="12"/>
        <v>13.685489661775266</v>
      </c>
      <c r="S72" s="72">
        <f t="shared" si="13"/>
        <v>98.409439405359052</v>
      </c>
      <c r="T72" s="72">
        <f t="shared" si="14"/>
        <v>0.82386880474049351</v>
      </c>
      <c r="U72" s="73">
        <f t="shared" si="15"/>
        <v>95.412511770529008</v>
      </c>
      <c r="V72" s="73">
        <f t="shared" si="16"/>
        <v>1.4510949610063506</v>
      </c>
      <c r="W72" s="72">
        <f t="shared" si="17"/>
        <v>100.36227326473622</v>
      </c>
      <c r="X72" s="72">
        <f t="shared" si="18"/>
        <v>0.73712546227577991</v>
      </c>
    </row>
    <row r="73" spans="1:24" x14ac:dyDescent="0.2">
      <c r="B73" s="70">
        <v>1.7695833333333333</v>
      </c>
      <c r="C73" s="70">
        <v>0.21258333333333335</v>
      </c>
      <c r="D73" s="71">
        <v>1.6734722222222222</v>
      </c>
      <c r="E73" s="71">
        <v>0.19547222222222221</v>
      </c>
      <c r="F73" s="70">
        <v>1.0488055555555555</v>
      </c>
      <c r="G73" s="70">
        <v>8.8055555555555456E-3</v>
      </c>
      <c r="H73" s="71">
        <v>1.2706944444444443</v>
      </c>
      <c r="I73" s="71">
        <v>1.769444444444445E-2</v>
      </c>
      <c r="J73" s="70">
        <v>1.112138888888889</v>
      </c>
      <c r="K73" s="70">
        <v>2.6138888888888892E-2</v>
      </c>
      <c r="O73" s="72">
        <f t="shared" si="9"/>
        <v>111.68282463491173</v>
      </c>
      <c r="P73" s="72">
        <f t="shared" si="10"/>
        <v>13.416665205729212</v>
      </c>
      <c r="Q73" s="73">
        <f t="shared" si="11"/>
        <v>110.92187873989651</v>
      </c>
      <c r="R73" s="73">
        <f t="shared" si="12"/>
        <v>12.956382449873876</v>
      </c>
      <c r="S73" s="72">
        <f t="shared" si="13"/>
        <v>98.128752241598889</v>
      </c>
      <c r="T73" s="72">
        <f t="shared" si="14"/>
        <v>0.82386880474049351</v>
      </c>
      <c r="U73" s="73">
        <f t="shared" si="15"/>
        <v>110.44981529323708</v>
      </c>
      <c r="V73" s="73">
        <f t="shared" si="16"/>
        <v>1.5380157906173799</v>
      </c>
      <c r="W73" s="72">
        <f t="shared" si="17"/>
        <v>100.72454652947245</v>
      </c>
      <c r="X73" s="72">
        <f t="shared" si="18"/>
        <v>2.3673551535887696</v>
      </c>
    </row>
    <row r="74" spans="1:24" x14ac:dyDescent="0.2">
      <c r="A74" s="115" t="s">
        <v>48</v>
      </c>
      <c r="B74" s="115">
        <f t="shared" ref="B74:G74" si="19">AVERAGE(B65:B73)</f>
        <v>1.5844722222222223</v>
      </c>
      <c r="C74" s="115">
        <f t="shared" si="19"/>
        <v>0.15980555555555556</v>
      </c>
      <c r="D74" s="115">
        <f t="shared" si="19"/>
        <v>1.5086944444444446</v>
      </c>
      <c r="E74" s="115">
        <f t="shared" si="19"/>
        <v>0.16613888888888889</v>
      </c>
      <c r="F74" s="115">
        <f t="shared" si="19"/>
        <v>1.0688055555555553</v>
      </c>
      <c r="G74" s="115">
        <f t="shared" si="19"/>
        <v>2.1249999999999991E-2</v>
      </c>
      <c r="H74" s="115">
        <f t="shared" ref="H74:K74" si="20">AVERAGE(H65:H73)</f>
        <v>1.1504722222222221</v>
      </c>
      <c r="I74" s="115">
        <f t="shared" si="20"/>
        <v>3.3361111111111119E-2</v>
      </c>
      <c r="J74" s="115">
        <f t="shared" si="20"/>
        <v>1.104138888888889</v>
      </c>
      <c r="K74" s="115">
        <f t="shared" si="20"/>
        <v>3.769444444444444E-2</v>
      </c>
      <c r="N74" s="115" t="s">
        <v>48</v>
      </c>
      <c r="O74" s="116">
        <f>AVERAGE(O65:O73)</f>
        <v>100</v>
      </c>
      <c r="P74" s="116">
        <f>AVERAGE(P65:P73)</f>
        <v>10.085727809821007</v>
      </c>
      <c r="Q74" s="116">
        <f t="shared" ref="Q74:T74" si="21">AVERAGE(Q65:Q73)</f>
        <v>100.00000000000001</v>
      </c>
      <c r="R74" s="116">
        <f t="shared" si="21"/>
        <v>11.012096551470181</v>
      </c>
      <c r="S74" s="116">
        <f t="shared" si="21"/>
        <v>100.00000000000001</v>
      </c>
      <c r="T74" s="116">
        <f t="shared" si="21"/>
        <v>1.9882007433011921</v>
      </c>
      <c r="U74" s="116">
        <f t="shared" ref="U74" si="22">AVERAGE(U65:U73)</f>
        <v>100</v>
      </c>
      <c r="V74" s="116">
        <f>AVERAGE(V65:V73)</f>
        <v>2.8997754545235055</v>
      </c>
      <c r="W74" s="116">
        <f t="shared" ref="W74:X74" si="23">AVERAGE(W65:W73)</f>
        <v>100</v>
      </c>
      <c r="X74" s="116">
        <f t="shared" si="23"/>
        <v>3.4139223628267374</v>
      </c>
    </row>
    <row r="75" spans="1:24" x14ac:dyDescent="0.2">
      <c r="A75" s="115" t="s">
        <v>84</v>
      </c>
      <c r="B75" s="115">
        <f t="shared" ref="B75:G75" si="24">STDEV(B65:B73)</f>
        <v>0.12069221644791812</v>
      </c>
      <c r="C75" s="115">
        <f t="shared" si="24"/>
        <v>6.7375399401001332E-2</v>
      </c>
      <c r="D75" s="115">
        <f t="shared" si="24"/>
        <v>0.12416096183762607</v>
      </c>
      <c r="E75" s="115">
        <f t="shared" si="24"/>
        <v>6.7208630398186212E-2</v>
      </c>
      <c r="F75" s="115">
        <f t="shared" si="24"/>
        <v>5.8949130612757965E-2</v>
      </c>
      <c r="G75" s="115">
        <f t="shared" si="24"/>
        <v>1.5977414614942485E-2</v>
      </c>
      <c r="H75" s="115">
        <f t="shared" ref="H75:K75" si="25">STDEV(H65:H73)</f>
        <v>0.1002132448553805</v>
      </c>
      <c r="I75" s="115">
        <f t="shared" si="25"/>
        <v>1.4908051515875567E-2</v>
      </c>
      <c r="J75" s="115">
        <f t="shared" si="25"/>
        <v>6.8778630402182309E-2</v>
      </c>
      <c r="K75" s="115">
        <f t="shared" si="25"/>
        <v>1.7586295169187225E-2</v>
      </c>
      <c r="N75" s="115" t="s">
        <v>84</v>
      </c>
      <c r="O75" s="116">
        <f>STDEV(O65:O73)</f>
        <v>7.6171872725321332</v>
      </c>
      <c r="P75" s="116">
        <f>STDEV(P65:P73)</f>
        <v>4.2522297618135108</v>
      </c>
      <c r="Q75" s="116">
        <f t="shared" ref="Q75:T75" si="26">STDEV(Q65:Q73)</f>
        <v>8.2296957011296339</v>
      </c>
      <c r="R75" s="116">
        <f t="shared" si="26"/>
        <v>4.4547542841211198</v>
      </c>
      <c r="S75" s="116">
        <f t="shared" si="26"/>
        <v>5.515421425940918</v>
      </c>
      <c r="T75" s="116">
        <f t="shared" si="26"/>
        <v>1.4948850641628235</v>
      </c>
      <c r="U75" s="116">
        <f t="shared" ref="U75" si="27">STDEV(U65:U73)</f>
        <v>8.7106183808428845</v>
      </c>
      <c r="V75" s="116">
        <f>STDEV(V65:V73)</f>
        <v>1.2958202056438681</v>
      </c>
      <c r="W75" s="116">
        <f t="shared" ref="W75:X75" si="28">STDEV(W65:W73)</f>
        <v>6.229164744971099</v>
      </c>
      <c r="X75" s="116">
        <f t="shared" si="28"/>
        <v>1.5927611413890648</v>
      </c>
    </row>
    <row r="76" spans="1:24" x14ac:dyDescent="0.2">
      <c r="A76" s="42" t="s">
        <v>54</v>
      </c>
      <c r="B76" s="117">
        <f>3*B75</f>
        <v>0.36207664934375439</v>
      </c>
      <c r="C76" s="117">
        <f t="shared" ref="C76:G76" si="29">3*C75</f>
        <v>0.20212619820300398</v>
      </c>
      <c r="D76" s="117">
        <f t="shared" si="29"/>
        <v>0.37248288551287823</v>
      </c>
      <c r="E76" s="117">
        <f t="shared" si="29"/>
        <v>0.20162589119455865</v>
      </c>
      <c r="F76" s="117">
        <f t="shared" si="29"/>
        <v>0.17684739183827389</v>
      </c>
      <c r="G76" s="117">
        <f t="shared" si="29"/>
        <v>4.7932243844827457E-2</v>
      </c>
      <c r="H76" s="117">
        <f>3*H75</f>
        <v>0.30063973456614146</v>
      </c>
      <c r="I76" s="117">
        <f t="shared" ref="I76:K76" si="30">3*I75</f>
        <v>4.4724154547626696E-2</v>
      </c>
      <c r="J76" s="117">
        <f t="shared" si="30"/>
        <v>0.20633589120654694</v>
      </c>
      <c r="K76" s="117">
        <f t="shared" si="30"/>
        <v>5.2758885507561679E-2</v>
      </c>
      <c r="N76" s="118" t="s">
        <v>74</v>
      </c>
      <c r="O76" s="116">
        <f>O74+(3*O75)</f>
        <v>122.85156181759641</v>
      </c>
      <c r="P76" s="116">
        <f>P74+(3*P75)</f>
        <v>22.842417095261538</v>
      </c>
      <c r="Q76" s="116">
        <f t="shared" ref="Q76:T76" si="31">Q74+(3*Q75)</f>
        <v>124.68908710338891</v>
      </c>
      <c r="R76" s="116">
        <f t="shared" si="31"/>
        <v>24.37635940383354</v>
      </c>
      <c r="S76" s="116">
        <f t="shared" si="31"/>
        <v>116.54626427782277</v>
      </c>
      <c r="T76" s="116">
        <f t="shared" si="31"/>
        <v>6.4728559357896627</v>
      </c>
      <c r="U76" s="116">
        <f t="shared" ref="U76" si="32">U74+(3*U75)</f>
        <v>126.13185514252865</v>
      </c>
      <c r="V76" s="116">
        <f>V74+(3*V75)</f>
        <v>6.7872360714551103</v>
      </c>
      <c r="W76" s="116">
        <f t="shared" ref="W76:X76" si="33">W74+(3*W75)</f>
        <v>118.68749423491329</v>
      </c>
      <c r="X76" s="116">
        <f t="shared" si="33"/>
        <v>8.1922057869939309</v>
      </c>
    </row>
    <row r="77" spans="1:24" x14ac:dyDescent="0.2">
      <c r="A77" s="118" t="s">
        <v>74</v>
      </c>
      <c r="B77" s="119">
        <f>B74+B76</f>
        <v>1.9465488715659767</v>
      </c>
      <c r="C77" s="119">
        <f t="shared" ref="C77:G77" si="34">C74+C76</f>
        <v>0.36193175375855957</v>
      </c>
      <c r="D77" s="119">
        <f t="shared" si="34"/>
        <v>1.8811773299573229</v>
      </c>
      <c r="E77" s="119">
        <f t="shared" si="34"/>
        <v>0.36776478008344754</v>
      </c>
      <c r="F77" s="119">
        <f t="shared" si="34"/>
        <v>1.2456529473938291</v>
      </c>
      <c r="G77" s="119">
        <f t="shared" si="34"/>
        <v>6.9182243844827448E-2</v>
      </c>
      <c r="H77" s="119">
        <f>H74+H76</f>
        <v>1.4511119567883637</v>
      </c>
      <c r="I77" s="119">
        <f t="shared" ref="I77:K77" si="35">I74+I76</f>
        <v>7.8085265658737815E-2</v>
      </c>
      <c r="J77" s="119">
        <f t="shared" si="35"/>
        <v>1.3104747800954359</v>
      </c>
      <c r="K77" s="119">
        <f t="shared" si="35"/>
        <v>9.0453329952006112E-2</v>
      </c>
      <c r="N77" s="118" t="s">
        <v>75</v>
      </c>
      <c r="O77" s="116">
        <f>O74-(3*O75)</f>
        <v>77.148438182403595</v>
      </c>
      <c r="P77" s="116">
        <f>P74-(3*P75)</f>
        <v>-2.6709614756195261</v>
      </c>
      <c r="Q77" s="116">
        <f t="shared" ref="Q77:T77" si="36">Q74-(3*Q75)</f>
        <v>75.310912896611114</v>
      </c>
      <c r="R77" s="116">
        <f t="shared" si="36"/>
        <v>-2.3521663008931792</v>
      </c>
      <c r="S77" s="116">
        <f t="shared" si="36"/>
        <v>83.453735722177257</v>
      </c>
      <c r="T77" s="116">
        <f t="shared" si="36"/>
        <v>-2.4964544491872784</v>
      </c>
      <c r="U77" s="116">
        <f t="shared" ref="U77" si="37">U74-(3*U75)</f>
        <v>73.86814485747135</v>
      </c>
      <c r="V77" s="116">
        <f>V74-(3*V75)</f>
        <v>-0.98768516240809889</v>
      </c>
      <c r="W77" s="116">
        <f t="shared" ref="W77:X77" si="38">W74-(3*W75)</f>
        <v>81.312505765086712</v>
      </c>
      <c r="X77" s="116">
        <f t="shared" si="38"/>
        <v>-1.3643610613404564</v>
      </c>
    </row>
    <row r="78" spans="1:24" x14ac:dyDescent="0.2">
      <c r="A78" s="118" t="s">
        <v>75</v>
      </c>
      <c r="B78" s="119">
        <f>B74-B76</f>
        <v>1.2223955728784679</v>
      </c>
      <c r="C78" s="119">
        <f t="shared" ref="C78:G78" si="39">C74-C76</f>
        <v>-4.232064264744842E-2</v>
      </c>
      <c r="D78" s="119">
        <f t="shared" si="39"/>
        <v>1.1362115589315662</v>
      </c>
      <c r="E78" s="119">
        <f t="shared" si="39"/>
        <v>-3.5487002305669757E-2</v>
      </c>
      <c r="F78" s="119">
        <f t="shared" si="39"/>
        <v>0.89195816371728143</v>
      </c>
      <c r="G78" s="119">
        <f t="shared" si="39"/>
        <v>-2.6682243844827466E-2</v>
      </c>
      <c r="H78" s="119">
        <f>H74-H76</f>
        <v>0.84983248765608066</v>
      </c>
      <c r="I78" s="119">
        <f t="shared" ref="I78:K78" si="40">I74-I76</f>
        <v>-1.1363043436515577E-2</v>
      </c>
      <c r="J78" s="119">
        <f t="shared" si="40"/>
        <v>0.89780299768234206</v>
      </c>
      <c r="K78" s="119">
        <f t="shared" si="40"/>
        <v>-1.5064441063117238E-2</v>
      </c>
      <c r="N78" s="118" t="s">
        <v>51</v>
      </c>
      <c r="O78" s="116"/>
      <c r="P78" s="116"/>
      <c r="Q78" s="116"/>
      <c r="R78" s="116"/>
      <c r="S78" s="116"/>
      <c r="T78" s="116"/>
      <c r="U78" s="116"/>
      <c r="V78" s="116"/>
      <c r="W78" s="116"/>
      <c r="X78" s="116"/>
    </row>
    <row r="79" spans="1:24" x14ac:dyDescent="0.2">
      <c r="A79" s="118" t="s">
        <v>51</v>
      </c>
      <c r="B79" s="120">
        <f>B74-(0.2*B74)</f>
        <v>1.2675777777777779</v>
      </c>
      <c r="C79" s="120">
        <f t="shared" ref="C79:G79" si="41">C74-(0.2*C74)</f>
        <v>0.12784444444444445</v>
      </c>
      <c r="D79" s="120">
        <f t="shared" si="41"/>
        <v>1.2069555555555556</v>
      </c>
      <c r="E79" s="120">
        <f t="shared" si="41"/>
        <v>0.13291111111111112</v>
      </c>
      <c r="F79" s="120">
        <f t="shared" si="41"/>
        <v>0.85504444444444427</v>
      </c>
      <c r="G79" s="120">
        <f t="shared" si="41"/>
        <v>1.6999999999999994E-2</v>
      </c>
      <c r="H79" s="120">
        <f>H74-(0.2*H74)</f>
        <v>0.92037777777777774</v>
      </c>
      <c r="I79" s="120">
        <f t="shared" ref="I79:K79" si="42">I74-(0.2*I74)</f>
        <v>2.6688888888888894E-2</v>
      </c>
      <c r="J79" s="120">
        <f t="shared" si="42"/>
        <v>0.88331111111111116</v>
      </c>
      <c r="K79" s="120">
        <f t="shared" si="42"/>
        <v>3.0155555555555554E-2</v>
      </c>
      <c r="N79" s="115"/>
      <c r="O79" s="116"/>
      <c r="P79" s="116"/>
      <c r="Q79" s="116"/>
      <c r="R79" s="116"/>
      <c r="S79" s="116"/>
      <c r="T79" s="116"/>
      <c r="U79" s="116"/>
      <c r="V79" s="116"/>
      <c r="W79" s="116"/>
      <c r="X79" s="116"/>
    </row>
    <row r="80" spans="1:24" x14ac:dyDescent="0.2">
      <c r="A80" s="118" t="s">
        <v>76</v>
      </c>
      <c r="B80" s="121">
        <f>1- ((3*(B75+C75))/(B74-C74))</f>
        <v>0.60397553985955188</v>
      </c>
      <c r="C80" s="115"/>
      <c r="D80" s="121">
        <f>1- ((3*(D75+E75))/(D74-E74))</f>
        <v>0.57237614910478096</v>
      </c>
      <c r="E80" s="115"/>
      <c r="F80" s="121">
        <f>1- ((3*(F75+G75))/(F74-G74))</f>
        <v>0.78542461591557988</v>
      </c>
      <c r="G80" s="115"/>
      <c r="H80" s="121">
        <f>1- ((3*(H75+I75))/(H74-I74))</f>
        <v>0.69084195325005826</v>
      </c>
      <c r="I80" s="115"/>
      <c r="J80" s="121">
        <f>1- ((3*(J75+K75))/(J74-K74))</f>
        <v>0.75704803183715597</v>
      </c>
      <c r="K80" s="115"/>
    </row>
  </sheetData>
  <mergeCells count="27">
    <mergeCell ref="U63:V63"/>
    <mergeCell ref="W63:X63"/>
    <mergeCell ref="S63:T63"/>
    <mergeCell ref="B63:C63"/>
    <mergeCell ref="D63:E63"/>
    <mergeCell ref="F63:G63"/>
    <mergeCell ref="O63:P63"/>
    <mergeCell ref="Q63:R63"/>
    <mergeCell ref="H63:I63"/>
    <mergeCell ref="J63:K63"/>
    <mergeCell ref="R1:X1"/>
    <mergeCell ref="A2:H2"/>
    <mergeCell ref="B3:E3"/>
    <mergeCell ref="J3:O3"/>
    <mergeCell ref="T3:AA3"/>
    <mergeCell ref="J2:K2"/>
    <mergeCell ref="Q2:R2"/>
    <mergeCell ref="L2:N2"/>
    <mergeCell ref="S2:U2"/>
    <mergeCell ref="B61:K61"/>
    <mergeCell ref="O60:X60"/>
    <mergeCell ref="O61:X61"/>
    <mergeCell ref="A53:I53"/>
    <mergeCell ref="B62:E62"/>
    <mergeCell ref="O62:R62"/>
    <mergeCell ref="F62:K62"/>
    <mergeCell ref="S62:X62"/>
  </mergeCells>
  <phoneticPr fontId="15" type="noConversion"/>
  <conditionalFormatting sqref="V5:V46">
    <cfRule type="cellIs" dxfId="0" priority="1" operator="greaterThan">
      <formula>10</formula>
    </cfRule>
  </conditionalFormatting>
  <conditionalFormatting sqref="Y5:Y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Plate Layout</vt:lpstr>
      <vt:lpstr>Math</vt:lpstr>
      <vt:lpstr>47-88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Abby Callahan-Muller</dc:creator>
  <cp:lastModifiedBy>Sandlin, Rebecca D.</cp:lastModifiedBy>
  <dcterms:created xsi:type="dcterms:W3CDTF">2024-03-14T02:02:14Z</dcterms:created>
  <dcterms:modified xsi:type="dcterms:W3CDTF">2024-04-04T19:20:10Z</dcterms:modified>
</cp:coreProperties>
</file>