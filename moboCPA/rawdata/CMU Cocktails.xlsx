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ds16/Dropbox/1. trainee folders/4. Abby and Justyna stuff/Abby/CPA Toxicity: Abby/Analyzed Data/CPA Cocktails/CMU/"/>
    </mc:Choice>
  </mc:AlternateContent>
  <xr:revisionPtr revIDLastSave="0" documentId="13_ncr:1_{42C5FE34-D0DF-3743-8EAB-26A8515035B9}" xr6:coauthVersionLast="47" xr6:coauthVersionMax="47" xr10:uidLastSave="{00000000-0000-0000-0000-000000000000}"/>
  <bookViews>
    <workbookView xWindow="0" yWindow="500" windowWidth="41120" windowHeight="22920" activeTab="4" xr2:uid="{5F40E3D6-DB9B-F847-821F-08A31B24BD2D}"/>
  </bookViews>
  <sheets>
    <sheet name="Raw Data" sheetId="2" r:id="rId1"/>
    <sheet name="Plate Layout" sheetId="1" r:id="rId2"/>
    <sheet name="Math" sheetId="3" r:id="rId3"/>
    <sheet name="1-46" sheetId="4" r:id="rId4"/>
    <sheet name="summary comparis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5" l="1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Z5" i="4"/>
  <c r="AB200" i="3"/>
  <c r="AB199" i="3"/>
  <c r="AB198" i="3"/>
  <c r="AI195" i="3"/>
  <c r="AI194" i="3"/>
  <c r="AF197" i="3"/>
  <c r="AF196" i="3"/>
  <c r="AF195" i="3"/>
  <c r="AF194" i="3"/>
  <c r="R194" i="3"/>
  <c r="D194" i="3"/>
  <c r="D193" i="3"/>
  <c r="R198" i="3"/>
  <c r="R5" i="4"/>
  <c r="O52" i="4"/>
  <c r="U72" i="4"/>
  <c r="U74" i="4"/>
  <c r="V76" i="4"/>
  <c r="U78" i="4"/>
  <c r="D59" i="3"/>
  <c r="C59" i="3"/>
  <c r="AA59" i="3" s="1"/>
  <c r="D58" i="3"/>
  <c r="C58" i="3"/>
  <c r="AA58" i="3" s="1"/>
  <c r="Q57" i="3"/>
  <c r="D57" i="3"/>
  <c r="C57" i="3"/>
  <c r="AA57" i="3" s="1"/>
  <c r="D56" i="3"/>
  <c r="C56" i="3"/>
  <c r="Q56" i="3" s="1"/>
  <c r="D55" i="3"/>
  <c r="C55" i="3"/>
  <c r="AA55" i="3" s="1"/>
  <c r="D54" i="3"/>
  <c r="C54" i="3"/>
  <c r="Q54" i="3" s="1"/>
  <c r="D53" i="3"/>
  <c r="C53" i="3"/>
  <c r="AA53" i="3" s="1"/>
  <c r="D52" i="3"/>
  <c r="C52" i="3"/>
  <c r="Q52" i="3" s="1"/>
  <c r="D51" i="3"/>
  <c r="C51" i="3"/>
  <c r="AA51" i="3" s="1"/>
  <c r="D50" i="3"/>
  <c r="C50" i="3"/>
  <c r="Q50" i="3" s="1"/>
  <c r="D49" i="3"/>
  <c r="C49" i="3"/>
  <c r="AA49" i="3" s="1"/>
  <c r="D48" i="3"/>
  <c r="C48" i="3"/>
  <c r="AA48" i="3" s="1"/>
  <c r="D47" i="3"/>
  <c r="C47" i="3"/>
  <c r="AA47" i="3" s="1"/>
  <c r="D46" i="3"/>
  <c r="C46" i="3"/>
  <c r="Q46" i="3" s="1"/>
  <c r="D45" i="3"/>
  <c r="C45" i="3"/>
  <c r="AA45" i="3" s="1"/>
  <c r="D44" i="3"/>
  <c r="C44" i="3"/>
  <c r="Q44" i="3" s="1"/>
  <c r="Q43" i="3"/>
  <c r="D43" i="3"/>
  <c r="C43" i="3"/>
  <c r="AA43" i="3" s="1"/>
  <c r="D42" i="3"/>
  <c r="C42" i="3"/>
  <c r="Q42" i="3" s="1"/>
  <c r="Q41" i="3"/>
  <c r="D41" i="3"/>
  <c r="C41" i="3"/>
  <c r="AA41" i="3" s="1"/>
  <c r="D40" i="3"/>
  <c r="C40" i="3"/>
  <c r="Q40" i="3" s="1"/>
  <c r="Q39" i="3"/>
  <c r="D39" i="3"/>
  <c r="C39" i="3"/>
  <c r="AA39" i="3" s="1"/>
  <c r="D38" i="3"/>
  <c r="C38" i="3"/>
  <c r="Q38" i="3" s="1"/>
  <c r="D37" i="3"/>
  <c r="C37" i="3"/>
  <c r="AA37" i="3" s="1"/>
  <c r="D36" i="3"/>
  <c r="C36" i="3"/>
  <c r="AA36" i="3" s="1"/>
  <c r="D35" i="3"/>
  <c r="C35" i="3"/>
  <c r="AA35" i="3" s="1"/>
  <c r="D34" i="3"/>
  <c r="C34" i="3"/>
  <c r="Q34" i="3" s="1"/>
  <c r="Q33" i="3"/>
  <c r="D33" i="3"/>
  <c r="C33" i="3"/>
  <c r="AA33" i="3" s="1"/>
  <c r="D32" i="3"/>
  <c r="C32" i="3"/>
  <c r="Q32" i="3" s="1"/>
  <c r="D31" i="3"/>
  <c r="C31" i="3"/>
  <c r="AA31" i="3" s="1"/>
  <c r="D30" i="3"/>
  <c r="C30" i="3"/>
  <c r="AA30" i="3" s="1"/>
  <c r="D29" i="3"/>
  <c r="C29" i="3"/>
  <c r="AA29" i="3" s="1"/>
  <c r="D28" i="3"/>
  <c r="C28" i="3"/>
  <c r="AA28" i="3" s="1"/>
  <c r="D27" i="3"/>
  <c r="C27" i="3"/>
  <c r="AA27" i="3" s="1"/>
  <c r="D26" i="3"/>
  <c r="C26" i="3"/>
  <c r="Q25" i="3"/>
  <c r="D25" i="3"/>
  <c r="C25" i="3"/>
  <c r="AA25" i="3" s="1"/>
  <c r="D24" i="3"/>
  <c r="C24" i="3"/>
  <c r="Q24" i="3" s="1"/>
  <c r="Q23" i="3"/>
  <c r="D23" i="3"/>
  <c r="C23" i="3"/>
  <c r="AA23" i="3" s="1"/>
  <c r="D22" i="3"/>
  <c r="C22" i="3"/>
  <c r="Q22" i="3" s="1"/>
  <c r="D21" i="3"/>
  <c r="C21" i="3"/>
  <c r="AA21" i="3" s="1"/>
  <c r="AA20" i="3"/>
  <c r="D20" i="3"/>
  <c r="C20" i="3"/>
  <c r="Q20" i="3" s="1"/>
  <c r="Q19" i="3"/>
  <c r="D19" i="3"/>
  <c r="C19" i="3"/>
  <c r="AA19" i="3" s="1"/>
  <c r="D18" i="3"/>
  <c r="C18" i="3"/>
  <c r="Q18" i="3" s="1"/>
  <c r="L16" i="3"/>
  <c r="K16" i="3"/>
  <c r="J16" i="3"/>
  <c r="I16" i="3"/>
  <c r="H16" i="3"/>
  <c r="G16" i="3"/>
  <c r="F16" i="3"/>
  <c r="E16" i="3"/>
  <c r="D16" i="3"/>
  <c r="L14" i="3"/>
  <c r="K14" i="3"/>
  <c r="J14" i="3"/>
  <c r="I14" i="3"/>
  <c r="H14" i="3"/>
  <c r="G14" i="3"/>
  <c r="F14" i="3"/>
  <c r="E14" i="3"/>
  <c r="D14" i="3"/>
  <c r="D13" i="3"/>
  <c r="Y16" i="3" s="1"/>
  <c r="I79" i="4"/>
  <c r="I80" i="4" s="1"/>
  <c r="H79" i="4"/>
  <c r="I78" i="4"/>
  <c r="I83" i="4" s="1"/>
  <c r="H78" i="4"/>
  <c r="W6" i="4" s="1"/>
  <c r="G79" i="4"/>
  <c r="G80" i="4" s="1"/>
  <c r="F79" i="4"/>
  <c r="L52" i="4" s="1"/>
  <c r="G78" i="4"/>
  <c r="G83" i="4" s="1"/>
  <c r="F78" i="4"/>
  <c r="U48" i="4" s="1"/>
  <c r="Q119" i="3"/>
  <c r="D119" i="3"/>
  <c r="R119" i="3" s="1"/>
  <c r="C119" i="3"/>
  <c r="AA119" i="3" s="1"/>
  <c r="D118" i="3"/>
  <c r="C118" i="3"/>
  <c r="AA118" i="3" s="1"/>
  <c r="Q117" i="3"/>
  <c r="D117" i="3"/>
  <c r="C117" i="3"/>
  <c r="AA117" i="3" s="1"/>
  <c r="D116" i="3"/>
  <c r="R116" i="3" s="1"/>
  <c r="C116" i="3"/>
  <c r="AA116" i="3" s="1"/>
  <c r="Q115" i="3"/>
  <c r="D115" i="3"/>
  <c r="C115" i="3"/>
  <c r="AA115" i="3" s="1"/>
  <c r="D114" i="3"/>
  <c r="R114" i="3" s="1"/>
  <c r="C114" i="3"/>
  <c r="AA114" i="3" s="1"/>
  <c r="D113" i="3"/>
  <c r="C113" i="3"/>
  <c r="AA113" i="3" s="1"/>
  <c r="D112" i="3"/>
  <c r="R112" i="3" s="1"/>
  <c r="C112" i="3"/>
  <c r="Q112" i="3" s="1"/>
  <c r="Q111" i="3"/>
  <c r="D111" i="3"/>
  <c r="C111" i="3"/>
  <c r="AA111" i="3" s="1"/>
  <c r="D110" i="3"/>
  <c r="R110" i="3" s="1"/>
  <c r="C110" i="3"/>
  <c r="Q110" i="3" s="1"/>
  <c r="Q109" i="3"/>
  <c r="D109" i="3"/>
  <c r="C109" i="3"/>
  <c r="AA109" i="3" s="1"/>
  <c r="D108" i="3"/>
  <c r="R108" i="3" s="1"/>
  <c r="C108" i="3"/>
  <c r="Q108" i="3" s="1"/>
  <c r="D107" i="3"/>
  <c r="C107" i="3"/>
  <c r="AA107" i="3" s="1"/>
  <c r="D106" i="3"/>
  <c r="R106" i="3" s="1"/>
  <c r="C106" i="3"/>
  <c r="Q106" i="3" s="1"/>
  <c r="D105" i="3"/>
  <c r="C105" i="3"/>
  <c r="AA105" i="3" s="1"/>
  <c r="D104" i="3"/>
  <c r="C104" i="3"/>
  <c r="Q104" i="3" s="1"/>
  <c r="Q103" i="3"/>
  <c r="D103" i="3"/>
  <c r="C103" i="3"/>
  <c r="AA103" i="3" s="1"/>
  <c r="D102" i="3"/>
  <c r="C102" i="3"/>
  <c r="Q102" i="3" s="1"/>
  <c r="D101" i="3"/>
  <c r="C101" i="3"/>
  <c r="AA101" i="3" s="1"/>
  <c r="D100" i="3"/>
  <c r="C100" i="3"/>
  <c r="Q100" i="3" s="1"/>
  <c r="D99" i="3"/>
  <c r="C99" i="3"/>
  <c r="AA99" i="3" s="1"/>
  <c r="D98" i="3"/>
  <c r="R98" i="3" s="1"/>
  <c r="C98" i="3"/>
  <c r="Q98" i="3" s="1"/>
  <c r="D97" i="3"/>
  <c r="C97" i="3"/>
  <c r="AA97" i="3" s="1"/>
  <c r="D96" i="3"/>
  <c r="R96" i="3" s="1"/>
  <c r="C96" i="3"/>
  <c r="Q96" i="3" s="1"/>
  <c r="Q95" i="3"/>
  <c r="D95" i="3"/>
  <c r="C95" i="3"/>
  <c r="AA95" i="3" s="1"/>
  <c r="D94" i="3"/>
  <c r="C94" i="3"/>
  <c r="AA94" i="3" s="1"/>
  <c r="Q93" i="3"/>
  <c r="D93" i="3"/>
  <c r="C93" i="3"/>
  <c r="AA93" i="3" s="1"/>
  <c r="D92" i="3"/>
  <c r="R92" i="3" s="1"/>
  <c r="C92" i="3"/>
  <c r="AA92" i="3" s="1"/>
  <c r="Q91" i="3"/>
  <c r="D91" i="3"/>
  <c r="C91" i="3"/>
  <c r="AA91" i="3" s="1"/>
  <c r="D90" i="3"/>
  <c r="R90" i="3" s="1"/>
  <c r="C90" i="3"/>
  <c r="Q90" i="3" s="1"/>
  <c r="D89" i="3"/>
  <c r="C89" i="3"/>
  <c r="AA89" i="3" s="1"/>
  <c r="D88" i="3"/>
  <c r="R88" i="3" s="1"/>
  <c r="C88" i="3"/>
  <c r="Q88" i="3" s="1"/>
  <c r="Q87" i="3"/>
  <c r="D87" i="3"/>
  <c r="C87" i="3"/>
  <c r="AA87" i="3" s="1"/>
  <c r="D86" i="3"/>
  <c r="R86" i="3" s="1"/>
  <c r="C86" i="3"/>
  <c r="Q86" i="3" s="1"/>
  <c r="Q85" i="3"/>
  <c r="D85" i="3"/>
  <c r="C85" i="3"/>
  <c r="AA85" i="3" s="1"/>
  <c r="D84" i="3"/>
  <c r="R84" i="3" s="1"/>
  <c r="C84" i="3"/>
  <c r="AA84" i="3" s="1"/>
  <c r="D83" i="3"/>
  <c r="C83" i="3"/>
  <c r="AA83" i="3" s="1"/>
  <c r="D82" i="3"/>
  <c r="R82" i="3" s="1"/>
  <c r="C82" i="3"/>
  <c r="AA82" i="3" s="1"/>
  <c r="D81" i="3"/>
  <c r="C81" i="3"/>
  <c r="AA81" i="3" s="1"/>
  <c r="D80" i="3"/>
  <c r="C80" i="3"/>
  <c r="Q80" i="3" s="1"/>
  <c r="Q79" i="3"/>
  <c r="D79" i="3"/>
  <c r="C79" i="3"/>
  <c r="AA79" i="3" s="1"/>
  <c r="D78" i="3"/>
  <c r="R78" i="3" s="1"/>
  <c r="C78" i="3"/>
  <c r="Q78" i="3" s="1"/>
  <c r="L76" i="3"/>
  <c r="Z76" i="3" s="1"/>
  <c r="K76" i="3"/>
  <c r="J76" i="3"/>
  <c r="X76" i="3" s="1"/>
  <c r="I76" i="3"/>
  <c r="H76" i="3"/>
  <c r="V76" i="3" s="1"/>
  <c r="G76" i="3"/>
  <c r="F76" i="3"/>
  <c r="E76" i="3"/>
  <c r="S76" i="3" s="1"/>
  <c r="D76" i="3"/>
  <c r="R76" i="3" s="1"/>
  <c r="L74" i="3"/>
  <c r="Z74" i="3" s="1"/>
  <c r="K74" i="3"/>
  <c r="Y74" i="3" s="1"/>
  <c r="J74" i="3"/>
  <c r="I74" i="3"/>
  <c r="W74" i="3" s="1"/>
  <c r="H74" i="3"/>
  <c r="V74" i="3" s="1"/>
  <c r="G74" i="3"/>
  <c r="U74" i="3" s="1"/>
  <c r="F74" i="3"/>
  <c r="E74" i="3"/>
  <c r="S74" i="3" s="1"/>
  <c r="D74" i="3"/>
  <c r="D73" i="3"/>
  <c r="Q179" i="3"/>
  <c r="D179" i="3"/>
  <c r="C179" i="3"/>
  <c r="AA179" i="3" s="1"/>
  <c r="D178" i="3"/>
  <c r="C178" i="3"/>
  <c r="Q178" i="3" s="1"/>
  <c r="Q177" i="3"/>
  <c r="D177" i="3"/>
  <c r="C177" i="3"/>
  <c r="AA177" i="3" s="1"/>
  <c r="D176" i="3"/>
  <c r="C176" i="3"/>
  <c r="Q176" i="3" s="1"/>
  <c r="D175" i="3"/>
  <c r="C175" i="3"/>
  <c r="AA175" i="3" s="1"/>
  <c r="D174" i="3"/>
  <c r="C174" i="3"/>
  <c r="Q174" i="3" s="1"/>
  <c r="Q173" i="3"/>
  <c r="D173" i="3"/>
  <c r="C173" i="3"/>
  <c r="AA173" i="3" s="1"/>
  <c r="D172" i="3"/>
  <c r="C172" i="3"/>
  <c r="Q172" i="3" s="1"/>
  <c r="Q171" i="3"/>
  <c r="D171" i="3"/>
  <c r="C171" i="3"/>
  <c r="AA171" i="3" s="1"/>
  <c r="D170" i="3"/>
  <c r="C170" i="3"/>
  <c r="Q170" i="3" s="1"/>
  <c r="D169" i="3"/>
  <c r="C169" i="3"/>
  <c r="AA169" i="3" s="1"/>
  <c r="D168" i="3"/>
  <c r="C168" i="3"/>
  <c r="Q168" i="3" s="1"/>
  <c r="D167" i="3"/>
  <c r="C167" i="3"/>
  <c r="AA167" i="3" s="1"/>
  <c r="D166" i="3"/>
  <c r="C166" i="3"/>
  <c r="Q166" i="3" s="1"/>
  <c r="Q165" i="3"/>
  <c r="D165" i="3"/>
  <c r="C165" i="3"/>
  <c r="AA165" i="3" s="1"/>
  <c r="D164" i="3"/>
  <c r="C164" i="3"/>
  <c r="Q164" i="3" s="1"/>
  <c r="D163" i="3"/>
  <c r="C163" i="3"/>
  <c r="AA163" i="3" s="1"/>
  <c r="D162" i="3"/>
  <c r="C162" i="3"/>
  <c r="Q162" i="3" s="1"/>
  <c r="D161" i="3"/>
  <c r="C161" i="3"/>
  <c r="AA161" i="3" s="1"/>
  <c r="D160" i="3"/>
  <c r="C160" i="3"/>
  <c r="Q160" i="3" s="1"/>
  <c r="D159" i="3"/>
  <c r="C159" i="3"/>
  <c r="AA159" i="3" s="1"/>
  <c r="D158" i="3"/>
  <c r="C158" i="3"/>
  <c r="Q158" i="3" s="1"/>
  <c r="Q157" i="3"/>
  <c r="D157" i="3"/>
  <c r="C157" i="3"/>
  <c r="AA157" i="3" s="1"/>
  <c r="D156" i="3"/>
  <c r="C156" i="3"/>
  <c r="Q156" i="3" s="1"/>
  <c r="Q155" i="3"/>
  <c r="D155" i="3"/>
  <c r="C155" i="3"/>
  <c r="AA155" i="3" s="1"/>
  <c r="D154" i="3"/>
  <c r="C154" i="3"/>
  <c r="Q154" i="3" s="1"/>
  <c r="Q153" i="3"/>
  <c r="D153" i="3"/>
  <c r="C153" i="3"/>
  <c r="AA153" i="3" s="1"/>
  <c r="D152" i="3"/>
  <c r="C152" i="3"/>
  <c r="Q152" i="3" s="1"/>
  <c r="D151" i="3"/>
  <c r="C151" i="3"/>
  <c r="AA151" i="3" s="1"/>
  <c r="D150" i="3"/>
  <c r="C150" i="3"/>
  <c r="AA150" i="3" s="1"/>
  <c r="Q149" i="3"/>
  <c r="D149" i="3"/>
  <c r="C149" i="3"/>
  <c r="AA149" i="3" s="1"/>
  <c r="D148" i="3"/>
  <c r="C148" i="3"/>
  <c r="AA148" i="3" s="1"/>
  <c r="Q147" i="3"/>
  <c r="D147" i="3"/>
  <c r="C147" i="3"/>
  <c r="AA147" i="3" s="1"/>
  <c r="D146" i="3"/>
  <c r="C146" i="3"/>
  <c r="Q146" i="3" s="1"/>
  <c r="D145" i="3"/>
  <c r="C145" i="3"/>
  <c r="AA145" i="3" s="1"/>
  <c r="D144" i="3"/>
  <c r="C144" i="3"/>
  <c r="Q144" i="3" s="1"/>
  <c r="D143" i="3"/>
  <c r="C143" i="3"/>
  <c r="AA143" i="3" s="1"/>
  <c r="D142" i="3"/>
  <c r="C142" i="3"/>
  <c r="Q142" i="3" s="1"/>
  <c r="Q141" i="3"/>
  <c r="D141" i="3"/>
  <c r="C141" i="3"/>
  <c r="AA141" i="3" s="1"/>
  <c r="D140" i="3"/>
  <c r="C140" i="3"/>
  <c r="AA140" i="3" s="1"/>
  <c r="D139" i="3"/>
  <c r="C139" i="3"/>
  <c r="AA139" i="3" s="1"/>
  <c r="D138" i="3"/>
  <c r="C138" i="3"/>
  <c r="Q138" i="3" s="1"/>
  <c r="L136" i="3"/>
  <c r="K136" i="3"/>
  <c r="J136" i="3"/>
  <c r="I136" i="3"/>
  <c r="H136" i="3"/>
  <c r="G136" i="3"/>
  <c r="F136" i="3"/>
  <c r="E136" i="3"/>
  <c r="D136" i="3"/>
  <c r="L134" i="3"/>
  <c r="K134" i="3"/>
  <c r="J134" i="3"/>
  <c r="I134" i="3"/>
  <c r="H134" i="3"/>
  <c r="G134" i="3"/>
  <c r="F134" i="3"/>
  <c r="E134" i="3"/>
  <c r="D134" i="3"/>
  <c r="D133" i="3"/>
  <c r="R141" i="3" s="1"/>
  <c r="B78" i="4"/>
  <c r="J51" i="4" s="1"/>
  <c r="E79" i="4"/>
  <c r="E80" i="4" s="1"/>
  <c r="D79" i="4"/>
  <c r="K52" i="4" s="1"/>
  <c r="C79" i="4"/>
  <c r="C80" i="4" s="1"/>
  <c r="B79" i="4"/>
  <c r="J52" i="4" s="1"/>
  <c r="E78" i="4"/>
  <c r="E83" i="4" s="1"/>
  <c r="D78" i="4"/>
  <c r="D83" i="4" s="1"/>
  <c r="K55" i="4" s="1"/>
  <c r="C78" i="4"/>
  <c r="C83" i="4" s="1"/>
  <c r="I50" i="4"/>
  <c r="I49" i="4"/>
  <c r="I48" i="4"/>
  <c r="I47" i="4"/>
  <c r="R134" i="3" l="1"/>
  <c r="R140" i="3"/>
  <c r="Q159" i="3"/>
  <c r="R164" i="3"/>
  <c r="AA178" i="3"/>
  <c r="Q97" i="3"/>
  <c r="R102" i="3"/>
  <c r="Q27" i="3"/>
  <c r="Q51" i="3"/>
  <c r="U70" i="4"/>
  <c r="V73" i="4"/>
  <c r="S134" i="3"/>
  <c r="V136" i="3"/>
  <c r="Q145" i="3"/>
  <c r="R150" i="3"/>
  <c r="Q169" i="3"/>
  <c r="R174" i="3"/>
  <c r="Q83" i="3"/>
  <c r="Q107" i="3"/>
  <c r="Q37" i="3"/>
  <c r="V70" i="4"/>
  <c r="U73" i="4"/>
  <c r="W136" i="3"/>
  <c r="R160" i="3"/>
  <c r="Q47" i="3"/>
  <c r="V78" i="4"/>
  <c r="V72" i="4"/>
  <c r="V79" i="4" s="1"/>
  <c r="X136" i="3"/>
  <c r="R170" i="3"/>
  <c r="V134" i="3"/>
  <c r="Q151" i="3"/>
  <c r="R156" i="3"/>
  <c r="Q175" i="3"/>
  <c r="R93" i="3"/>
  <c r="T76" i="3"/>
  <c r="Q89" i="3"/>
  <c r="R94" i="3"/>
  <c r="Q113" i="3"/>
  <c r="R118" i="3"/>
  <c r="V77" i="4"/>
  <c r="V71" i="4"/>
  <c r="W134" i="3"/>
  <c r="Z136" i="3"/>
  <c r="R142" i="3"/>
  <c r="Q161" i="3"/>
  <c r="R166" i="3"/>
  <c r="R74" i="3"/>
  <c r="R80" i="3"/>
  <c r="Q99" i="3"/>
  <c r="R104" i="3"/>
  <c r="Q29" i="3"/>
  <c r="Q53" i="3"/>
  <c r="U77" i="4"/>
  <c r="U71" i="4"/>
  <c r="U134" i="3"/>
  <c r="R146" i="3"/>
  <c r="R152" i="3"/>
  <c r="Y134" i="3"/>
  <c r="R138" i="3"/>
  <c r="R162" i="3"/>
  <c r="W76" i="3"/>
  <c r="R100" i="3"/>
  <c r="Q49" i="3"/>
  <c r="U76" i="4"/>
  <c r="Z134" i="3"/>
  <c r="R148" i="3"/>
  <c r="Q167" i="3"/>
  <c r="R172" i="3"/>
  <c r="Q81" i="3"/>
  <c r="Q105" i="3"/>
  <c r="Q35" i="3"/>
  <c r="Q59" i="3"/>
  <c r="V75" i="4"/>
  <c r="T136" i="3"/>
  <c r="R176" i="3"/>
  <c r="Q21" i="3"/>
  <c r="Q45" i="3"/>
  <c r="U75" i="4"/>
  <c r="R154" i="3"/>
  <c r="R178" i="3"/>
  <c r="Q143" i="3"/>
  <c r="R136" i="3"/>
  <c r="R158" i="3"/>
  <c r="S136" i="3"/>
  <c r="Q139" i="3"/>
  <c r="R144" i="3"/>
  <c r="Q163" i="3"/>
  <c r="R168" i="3"/>
  <c r="Q101" i="3"/>
  <c r="Q31" i="3"/>
  <c r="Q55" i="3"/>
  <c r="V74" i="4"/>
  <c r="O51" i="4"/>
  <c r="W40" i="4"/>
  <c r="W32" i="4"/>
  <c r="W24" i="4"/>
  <c r="W16" i="4"/>
  <c r="W8" i="4"/>
  <c r="W33" i="4"/>
  <c r="W45" i="4"/>
  <c r="W37" i="4"/>
  <c r="W29" i="4"/>
  <c r="W21" i="4"/>
  <c r="W13" i="4"/>
  <c r="U80" i="4"/>
  <c r="W41" i="4"/>
  <c r="W25" i="4"/>
  <c r="W17" i="4"/>
  <c r="W9" i="4"/>
  <c r="W44" i="4"/>
  <c r="W36" i="4"/>
  <c r="W28" i="4"/>
  <c r="W20" i="4"/>
  <c r="W12" i="4"/>
  <c r="W5" i="4"/>
  <c r="W43" i="4"/>
  <c r="W39" i="4"/>
  <c r="W35" i="4"/>
  <c r="W31" i="4"/>
  <c r="W27" i="4"/>
  <c r="W23" i="4"/>
  <c r="W19" i="4"/>
  <c r="W15" i="4"/>
  <c r="W11" i="4"/>
  <c r="W7" i="4"/>
  <c r="W46" i="4"/>
  <c r="W42" i="4"/>
  <c r="W38" i="4"/>
  <c r="W34" i="4"/>
  <c r="W30" i="4"/>
  <c r="W26" i="4"/>
  <c r="W22" i="4"/>
  <c r="W18" i="4"/>
  <c r="W14" i="4"/>
  <c r="W10" i="4"/>
  <c r="R43" i="4"/>
  <c r="R35" i="4"/>
  <c r="R27" i="4"/>
  <c r="R19" i="4"/>
  <c r="R10" i="4"/>
  <c r="O75" i="4"/>
  <c r="P76" i="4"/>
  <c r="Q77" i="4"/>
  <c r="R78" i="4"/>
  <c r="K51" i="4"/>
  <c r="S44" i="4"/>
  <c r="S36" i="4"/>
  <c r="S28" i="4"/>
  <c r="S20" i="4"/>
  <c r="S12" i="4"/>
  <c r="F83" i="4"/>
  <c r="L55" i="4" s="1"/>
  <c r="T76" i="4"/>
  <c r="T72" i="4"/>
  <c r="T47" i="4"/>
  <c r="V48" i="4"/>
  <c r="R41" i="4"/>
  <c r="Z41" i="4" s="1"/>
  <c r="R33" i="4"/>
  <c r="R25" i="4"/>
  <c r="R17" i="4"/>
  <c r="R8" i="4"/>
  <c r="O73" i="4"/>
  <c r="P74" i="4"/>
  <c r="Q75" i="4"/>
  <c r="R76" i="4"/>
  <c r="S42" i="4"/>
  <c r="S34" i="4"/>
  <c r="S26" i="4"/>
  <c r="S18" i="4"/>
  <c r="S10" i="4"/>
  <c r="S70" i="4"/>
  <c r="T75" i="4"/>
  <c r="T71" i="4"/>
  <c r="V50" i="4"/>
  <c r="T48" i="4"/>
  <c r="R39" i="4"/>
  <c r="R31" i="4"/>
  <c r="R23" i="4"/>
  <c r="Z23" i="4" s="1"/>
  <c r="R15" i="4"/>
  <c r="R6" i="4"/>
  <c r="O70" i="4"/>
  <c r="O71" i="4"/>
  <c r="P72" i="4"/>
  <c r="Q73" i="4"/>
  <c r="R74" i="4"/>
  <c r="R13" i="4"/>
  <c r="S40" i="4"/>
  <c r="S32" i="4"/>
  <c r="S24" i="4"/>
  <c r="S16" i="4"/>
  <c r="S8" i="4"/>
  <c r="T78" i="4"/>
  <c r="T74" i="4"/>
  <c r="L51" i="4"/>
  <c r="T50" i="4"/>
  <c r="R45" i="4"/>
  <c r="Z45" i="4" s="1"/>
  <c r="R37" i="4"/>
  <c r="R29" i="4"/>
  <c r="R21" i="4"/>
  <c r="Z21" i="4" s="1"/>
  <c r="R12" i="4"/>
  <c r="O77" i="4"/>
  <c r="P78" i="4"/>
  <c r="Q70" i="4"/>
  <c r="Q71" i="4"/>
  <c r="R72" i="4"/>
  <c r="S46" i="4"/>
  <c r="S38" i="4"/>
  <c r="S30" i="4"/>
  <c r="S22" i="4"/>
  <c r="S14" i="4"/>
  <c r="S6" i="4"/>
  <c r="T77" i="4"/>
  <c r="T73" i="4"/>
  <c r="U49" i="4"/>
  <c r="R46" i="4"/>
  <c r="Z46" i="4" s="1"/>
  <c r="R42" i="4"/>
  <c r="R38" i="4"/>
  <c r="R34" i="4"/>
  <c r="R30" i="4"/>
  <c r="R26" i="4"/>
  <c r="R22" i="4"/>
  <c r="R18" i="4"/>
  <c r="R14" i="4"/>
  <c r="Z14" i="4" s="1"/>
  <c r="R9" i="4"/>
  <c r="Z9" i="4" s="1"/>
  <c r="O78" i="4"/>
  <c r="O74" i="4"/>
  <c r="P70" i="4"/>
  <c r="P75" i="4"/>
  <c r="P71" i="4"/>
  <c r="Q76" i="4"/>
  <c r="Q72" i="4"/>
  <c r="R77" i="4"/>
  <c r="R73" i="4"/>
  <c r="S45" i="4"/>
  <c r="S41" i="4"/>
  <c r="S37" i="4"/>
  <c r="S33" i="4"/>
  <c r="S29" i="4"/>
  <c r="S25" i="4"/>
  <c r="S21" i="4"/>
  <c r="S17" i="4"/>
  <c r="S13" i="4"/>
  <c r="S9" i="4"/>
  <c r="H84" i="4"/>
  <c r="O56" i="4" s="1"/>
  <c r="S78" i="4"/>
  <c r="S76" i="4"/>
  <c r="S74" i="4"/>
  <c r="S72" i="4"/>
  <c r="U50" i="4"/>
  <c r="T49" i="4"/>
  <c r="Z49" i="4" s="1"/>
  <c r="U47" i="4"/>
  <c r="AA8" i="4"/>
  <c r="R44" i="4"/>
  <c r="R40" i="4"/>
  <c r="R36" i="4"/>
  <c r="R32" i="4"/>
  <c r="R28" i="4"/>
  <c r="R24" i="4"/>
  <c r="R20" i="4"/>
  <c r="R16" i="4"/>
  <c r="R11" i="4"/>
  <c r="Z11" i="4" s="1"/>
  <c r="R7" i="4"/>
  <c r="Z7" i="4" s="1"/>
  <c r="O76" i="4"/>
  <c r="O72" i="4"/>
  <c r="P77" i="4"/>
  <c r="P73" i="4"/>
  <c r="Q78" i="4"/>
  <c r="Q74" i="4"/>
  <c r="R70" i="4"/>
  <c r="R75" i="4"/>
  <c r="R71" i="4"/>
  <c r="S5" i="4"/>
  <c r="S43" i="4"/>
  <c r="AA43" i="4" s="1"/>
  <c r="S39" i="4"/>
  <c r="AA39" i="4" s="1"/>
  <c r="S35" i="4"/>
  <c r="AA35" i="4" s="1"/>
  <c r="S31" i="4"/>
  <c r="S27" i="4"/>
  <c r="S23" i="4"/>
  <c r="S19" i="4"/>
  <c r="AA19" i="4" s="1"/>
  <c r="S15" i="4"/>
  <c r="S11" i="4"/>
  <c r="S7" i="4"/>
  <c r="F84" i="4"/>
  <c r="L56" i="4" s="1"/>
  <c r="T70" i="4"/>
  <c r="S77" i="4"/>
  <c r="S75" i="4"/>
  <c r="S73" i="4"/>
  <c r="S71" i="4"/>
  <c r="V47" i="4"/>
  <c r="V49" i="4"/>
  <c r="X14" i="3"/>
  <c r="T16" i="3"/>
  <c r="X16" i="3"/>
  <c r="R20" i="3"/>
  <c r="R26" i="3"/>
  <c r="R34" i="3"/>
  <c r="R42" i="3"/>
  <c r="R50" i="3"/>
  <c r="R58" i="3"/>
  <c r="R49" i="3"/>
  <c r="R47" i="3"/>
  <c r="R43" i="3"/>
  <c r="R35" i="3"/>
  <c r="R31" i="3"/>
  <c r="R29" i="3"/>
  <c r="R25" i="3"/>
  <c r="R19" i="3"/>
  <c r="R57" i="3"/>
  <c r="R55" i="3"/>
  <c r="R53" i="3"/>
  <c r="R51" i="3"/>
  <c r="R45" i="3"/>
  <c r="R41" i="3"/>
  <c r="R39" i="3"/>
  <c r="R37" i="3"/>
  <c r="R33" i="3"/>
  <c r="R27" i="3"/>
  <c r="R23" i="3"/>
  <c r="R21" i="3"/>
  <c r="R59" i="3"/>
  <c r="U14" i="3"/>
  <c r="Y14" i="3"/>
  <c r="R28" i="3"/>
  <c r="R36" i="3"/>
  <c r="R44" i="3"/>
  <c r="R52" i="3"/>
  <c r="R14" i="3"/>
  <c r="V14" i="3"/>
  <c r="Z14" i="3"/>
  <c r="R16" i="3"/>
  <c r="V16" i="3"/>
  <c r="Z16" i="3"/>
  <c r="R18" i="3"/>
  <c r="R22" i="3"/>
  <c r="R30" i="3"/>
  <c r="R38" i="3"/>
  <c r="R46" i="3"/>
  <c r="R54" i="3"/>
  <c r="S14" i="3"/>
  <c r="W14" i="3"/>
  <c r="T14" i="3"/>
  <c r="S16" i="3"/>
  <c r="W16" i="3"/>
  <c r="U16" i="3"/>
  <c r="AA18" i="3"/>
  <c r="R24" i="3"/>
  <c r="AA26" i="3"/>
  <c r="Q26" i="3"/>
  <c r="R32" i="3"/>
  <c r="R40" i="3"/>
  <c r="R48" i="3"/>
  <c r="R56" i="3"/>
  <c r="AA22" i="3"/>
  <c r="AA24" i="3"/>
  <c r="AA32" i="3"/>
  <c r="AA34" i="3"/>
  <c r="AA38" i="3"/>
  <c r="AA40" i="3"/>
  <c r="AA42" i="3"/>
  <c r="AA44" i="3"/>
  <c r="AA46" i="3"/>
  <c r="AA50" i="3"/>
  <c r="AA52" i="3"/>
  <c r="AA54" i="3"/>
  <c r="AA56" i="3"/>
  <c r="Q28" i="3"/>
  <c r="Q30" i="3"/>
  <c r="Q36" i="3"/>
  <c r="Q48" i="3"/>
  <c r="Q58" i="3"/>
  <c r="T79" i="4"/>
  <c r="I82" i="4"/>
  <c r="H83" i="4"/>
  <c r="O55" i="4" s="1"/>
  <c r="I81" i="4"/>
  <c r="H80" i="4"/>
  <c r="H82" i="4" s="1"/>
  <c r="O54" i="4" s="1"/>
  <c r="G82" i="4"/>
  <c r="G81" i="4"/>
  <c r="F80" i="4"/>
  <c r="F81" i="4" s="1"/>
  <c r="L53" i="4" s="1"/>
  <c r="Y76" i="3"/>
  <c r="AA88" i="3"/>
  <c r="AA106" i="3"/>
  <c r="AA108" i="3"/>
  <c r="R95" i="3"/>
  <c r="R97" i="3"/>
  <c r="R101" i="3"/>
  <c r="R103" i="3"/>
  <c r="R105" i="3"/>
  <c r="R107" i="3"/>
  <c r="R109" i="3"/>
  <c r="R111" i="3"/>
  <c r="R113" i="3"/>
  <c r="R115" i="3"/>
  <c r="R117" i="3"/>
  <c r="T74" i="3"/>
  <c r="U76" i="3"/>
  <c r="AA78" i="3"/>
  <c r="AA80" i="3"/>
  <c r="AA86" i="3"/>
  <c r="AA90" i="3"/>
  <c r="AA96" i="3"/>
  <c r="AA98" i="3"/>
  <c r="AA100" i="3"/>
  <c r="AA102" i="3"/>
  <c r="AA104" i="3"/>
  <c r="AA110" i="3"/>
  <c r="AA112" i="3"/>
  <c r="R81" i="3"/>
  <c r="R83" i="3"/>
  <c r="R89" i="3"/>
  <c r="R99" i="3"/>
  <c r="Q82" i="3"/>
  <c r="Q84" i="3"/>
  <c r="Q92" i="3"/>
  <c r="Q94" i="3"/>
  <c r="Q114" i="3"/>
  <c r="Q116" i="3"/>
  <c r="Q118" i="3"/>
  <c r="X74" i="3"/>
  <c r="R79" i="3"/>
  <c r="R85" i="3"/>
  <c r="R87" i="3"/>
  <c r="R91" i="3"/>
  <c r="AA37" i="4"/>
  <c r="AA41" i="4"/>
  <c r="D84" i="4"/>
  <c r="K56" i="4" s="1"/>
  <c r="X134" i="3"/>
  <c r="AA144" i="3"/>
  <c r="AA168" i="3"/>
  <c r="AA176" i="3"/>
  <c r="R139" i="3"/>
  <c r="R143" i="3"/>
  <c r="R145" i="3"/>
  <c r="R147" i="3"/>
  <c r="R149" i="3"/>
  <c r="R151" i="3"/>
  <c r="R153" i="3"/>
  <c r="R155" i="3"/>
  <c r="R157" i="3"/>
  <c r="R159" i="3"/>
  <c r="R161" i="3"/>
  <c r="R163" i="3"/>
  <c r="R165" i="3"/>
  <c r="R167" i="3"/>
  <c r="R169" i="3"/>
  <c r="R171" i="3"/>
  <c r="R173" i="3"/>
  <c r="R175" i="3"/>
  <c r="R177" i="3"/>
  <c r="R179" i="3"/>
  <c r="T134" i="3"/>
  <c r="AF134" i="3" s="1"/>
  <c r="Y136" i="3"/>
  <c r="AA138" i="3"/>
  <c r="AA142" i="3"/>
  <c r="AA152" i="3"/>
  <c r="AA154" i="3"/>
  <c r="AA156" i="3"/>
  <c r="AA158" i="3"/>
  <c r="AA160" i="3"/>
  <c r="AA162" i="3"/>
  <c r="AA164" i="3"/>
  <c r="AA166" i="3"/>
  <c r="AA170" i="3"/>
  <c r="AA172" i="3"/>
  <c r="AA174" i="3"/>
  <c r="Q140" i="3"/>
  <c r="Q148" i="3"/>
  <c r="Q150" i="3"/>
  <c r="U136" i="3"/>
  <c r="AI134" i="3" s="1"/>
  <c r="AA146" i="3"/>
  <c r="P80" i="4"/>
  <c r="AA11" i="4"/>
  <c r="AA15" i="4"/>
  <c r="AA27" i="4"/>
  <c r="AA31" i="4"/>
  <c r="B84" i="4"/>
  <c r="J56" i="4" s="1"/>
  <c r="C81" i="4"/>
  <c r="C82" i="4"/>
  <c r="B80" i="4"/>
  <c r="B81" i="4" s="1"/>
  <c r="J53" i="4" s="1"/>
  <c r="B83" i="4"/>
  <c r="J55" i="4" s="1"/>
  <c r="D80" i="4"/>
  <c r="D82" i="4" s="1"/>
  <c r="K54" i="4" s="1"/>
  <c r="AA9" i="4"/>
  <c r="AA17" i="4"/>
  <c r="AA21" i="4"/>
  <c r="AA33" i="4"/>
  <c r="E81" i="4"/>
  <c r="E82" i="4"/>
  <c r="T80" i="4" l="1"/>
  <c r="Z16" i="4"/>
  <c r="Z31" i="4"/>
  <c r="Z10" i="4"/>
  <c r="R80" i="4"/>
  <c r="AA20" i="4"/>
  <c r="Z20" i="4"/>
  <c r="AA12" i="4"/>
  <c r="Z12" i="4"/>
  <c r="Z39" i="4"/>
  <c r="Z19" i="4"/>
  <c r="U81" i="4"/>
  <c r="U79" i="4"/>
  <c r="U82" i="4" s="1"/>
  <c r="AA24" i="4"/>
  <c r="Z24" i="4"/>
  <c r="AA48" i="4"/>
  <c r="Z48" i="4"/>
  <c r="P79" i="4"/>
  <c r="Z27" i="4"/>
  <c r="AA45" i="4"/>
  <c r="AA28" i="4"/>
  <c r="Z28" i="4"/>
  <c r="AA18" i="4"/>
  <c r="Z18" i="4"/>
  <c r="AA29" i="4"/>
  <c r="Z29" i="4"/>
  <c r="AA13" i="4"/>
  <c r="Z13" i="4"/>
  <c r="Z35" i="4"/>
  <c r="V80" i="4"/>
  <c r="V82" i="4" s="1"/>
  <c r="AA32" i="4"/>
  <c r="Z32" i="4"/>
  <c r="AA22" i="4"/>
  <c r="Z22" i="4"/>
  <c r="Z37" i="4"/>
  <c r="Z8" i="4"/>
  <c r="Z43" i="4"/>
  <c r="AA36" i="4"/>
  <c r="Z36" i="4"/>
  <c r="AA26" i="4"/>
  <c r="Z26" i="4"/>
  <c r="Z17" i="4"/>
  <c r="AA5" i="4"/>
  <c r="AA40" i="4"/>
  <c r="Z40" i="4"/>
  <c r="Z30" i="4"/>
  <c r="Z50" i="4"/>
  <c r="AA50" i="4"/>
  <c r="Z25" i="4"/>
  <c r="AA44" i="4"/>
  <c r="Z44" i="4"/>
  <c r="Q80" i="4"/>
  <c r="AA34" i="4"/>
  <c r="Z34" i="4"/>
  <c r="Z33" i="4"/>
  <c r="AA38" i="4"/>
  <c r="Z38" i="4"/>
  <c r="AI75" i="3"/>
  <c r="O80" i="4"/>
  <c r="AA16" i="4"/>
  <c r="AA42" i="4"/>
  <c r="Z42" i="4"/>
  <c r="Z6" i="4"/>
  <c r="AF74" i="3"/>
  <c r="AB104" i="3" s="1"/>
  <c r="Z15" i="4"/>
  <c r="Z47" i="4"/>
  <c r="V81" i="4"/>
  <c r="AA25" i="4"/>
  <c r="Q79" i="4"/>
  <c r="AA23" i="4"/>
  <c r="AA6" i="4"/>
  <c r="R79" i="4"/>
  <c r="S79" i="4"/>
  <c r="AA14" i="4"/>
  <c r="AA30" i="4"/>
  <c r="AA46" i="4"/>
  <c r="AA10" i="4"/>
  <c r="AA49" i="4"/>
  <c r="AA7" i="4"/>
  <c r="O79" i="4"/>
  <c r="S80" i="4"/>
  <c r="S82" i="4" s="1"/>
  <c r="AA47" i="4"/>
  <c r="AI15" i="3"/>
  <c r="AI14" i="3"/>
  <c r="AB29" i="3"/>
  <c r="AB47" i="3"/>
  <c r="AB30" i="3"/>
  <c r="AF14" i="3"/>
  <c r="AB40" i="3" s="1"/>
  <c r="AF15" i="3"/>
  <c r="T82" i="4"/>
  <c r="T81" i="4"/>
  <c r="H81" i="4"/>
  <c r="O53" i="4" s="1"/>
  <c r="F82" i="4"/>
  <c r="L54" i="4" s="1"/>
  <c r="AB118" i="3"/>
  <c r="AB96" i="3"/>
  <c r="AB90" i="3"/>
  <c r="AB119" i="3"/>
  <c r="AB110" i="3"/>
  <c r="AB100" i="3"/>
  <c r="AB112" i="3"/>
  <c r="AB98" i="3"/>
  <c r="AB86" i="3"/>
  <c r="AB88" i="3"/>
  <c r="AB108" i="3"/>
  <c r="AB106" i="3"/>
  <c r="AB94" i="3"/>
  <c r="AB84" i="3"/>
  <c r="AB116" i="3"/>
  <c r="AB78" i="3"/>
  <c r="AB80" i="3"/>
  <c r="AB82" i="3"/>
  <c r="AB114" i="3"/>
  <c r="AB102" i="3"/>
  <c r="AB92" i="3"/>
  <c r="AB79" i="3"/>
  <c r="AB113" i="3"/>
  <c r="AB105" i="3"/>
  <c r="AB95" i="3"/>
  <c r="AB91" i="3"/>
  <c r="AB99" i="3"/>
  <c r="AB111" i="3"/>
  <c r="AB103" i="3"/>
  <c r="AI74" i="3"/>
  <c r="AF75" i="3"/>
  <c r="AB87" i="3"/>
  <c r="AB89" i="3"/>
  <c r="AB117" i="3"/>
  <c r="AB109" i="3"/>
  <c r="AB101" i="3"/>
  <c r="AB85" i="3"/>
  <c r="AB83" i="3"/>
  <c r="AB115" i="3"/>
  <c r="AB107" i="3"/>
  <c r="AB97" i="3"/>
  <c r="D81" i="4"/>
  <c r="K53" i="4" s="1"/>
  <c r="AB164" i="3"/>
  <c r="AB166" i="3"/>
  <c r="AB160" i="3"/>
  <c r="AB138" i="3"/>
  <c r="AB170" i="3"/>
  <c r="AB172" i="3"/>
  <c r="AB142" i="3"/>
  <c r="AB174" i="3"/>
  <c r="AB168" i="3"/>
  <c r="AB146" i="3"/>
  <c r="AB178" i="3"/>
  <c r="AB148" i="3"/>
  <c r="AB140" i="3"/>
  <c r="AB150" i="3"/>
  <c r="AB144" i="3"/>
  <c r="AB176" i="3"/>
  <c r="AB154" i="3"/>
  <c r="AB156" i="3"/>
  <c r="AB158" i="3"/>
  <c r="AB152" i="3"/>
  <c r="AB141" i="3"/>
  <c r="AB162" i="3"/>
  <c r="AB175" i="3"/>
  <c r="AB167" i="3"/>
  <c r="AB159" i="3"/>
  <c r="AB151" i="3"/>
  <c r="AB143" i="3"/>
  <c r="AI135" i="3"/>
  <c r="AB173" i="3"/>
  <c r="AB165" i="3"/>
  <c r="AB157" i="3"/>
  <c r="AB149" i="3"/>
  <c r="AB139" i="3"/>
  <c r="AB179" i="3"/>
  <c r="AB171" i="3"/>
  <c r="AB163" i="3"/>
  <c r="AB155" i="3"/>
  <c r="AB147" i="3"/>
  <c r="AF135" i="3"/>
  <c r="AB177" i="3"/>
  <c r="AB169" i="3"/>
  <c r="AB161" i="3"/>
  <c r="AB153" i="3"/>
  <c r="AB145" i="3"/>
  <c r="P82" i="4"/>
  <c r="P81" i="4"/>
  <c r="Q82" i="4"/>
  <c r="Q81" i="4"/>
  <c r="B82" i="4"/>
  <c r="J54" i="4" s="1"/>
  <c r="AB22" i="3" l="1"/>
  <c r="AB41" i="3"/>
  <c r="AB48" i="3"/>
  <c r="AB27" i="3"/>
  <c r="O82" i="4"/>
  <c r="AB26" i="3"/>
  <c r="AB34" i="3"/>
  <c r="AB44" i="3"/>
  <c r="AB58" i="3"/>
  <c r="AB46" i="3"/>
  <c r="AB35" i="3"/>
  <c r="AB57" i="3"/>
  <c r="AB20" i="3"/>
  <c r="AB31" i="3"/>
  <c r="AB19" i="3"/>
  <c r="AB45" i="3"/>
  <c r="AB43" i="3"/>
  <c r="AB51" i="3"/>
  <c r="AB59" i="3"/>
  <c r="AB53" i="3"/>
  <c r="AB37" i="3"/>
  <c r="AB36" i="3"/>
  <c r="AB23" i="3"/>
  <c r="AB21" i="3"/>
  <c r="AB38" i="3"/>
  <c r="AB81" i="3"/>
  <c r="AB93" i="3"/>
  <c r="AB28" i="3"/>
  <c r="AB42" i="3"/>
  <c r="R82" i="4"/>
  <c r="R81" i="4"/>
  <c r="O81" i="4"/>
  <c r="S81" i="4"/>
  <c r="AB32" i="3"/>
  <c r="AB25" i="3"/>
  <c r="AB52" i="3"/>
  <c r="AB54" i="3"/>
  <c r="AF17" i="3"/>
  <c r="AF16" i="3"/>
  <c r="AL14" i="3"/>
  <c r="AB24" i="3"/>
  <c r="AB49" i="3"/>
  <c r="AB33" i="3"/>
  <c r="AB56" i="3"/>
  <c r="AB55" i="3"/>
  <c r="AB18" i="3"/>
  <c r="AB50" i="3"/>
  <c r="AB39" i="3"/>
  <c r="AF77" i="3"/>
  <c r="AL74" i="3"/>
  <c r="AF76" i="3"/>
  <c r="AF137" i="3"/>
  <c r="AF136" i="3"/>
  <c r="AL134" i="3"/>
  <c r="I46" i="4" l="1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D239" i="3"/>
  <c r="C239" i="3"/>
  <c r="AA239" i="3" s="1"/>
  <c r="D238" i="3"/>
  <c r="C238" i="3"/>
  <c r="Q238" i="3" s="1"/>
  <c r="Q237" i="3"/>
  <c r="D237" i="3"/>
  <c r="C237" i="3"/>
  <c r="AA237" i="3" s="1"/>
  <c r="D236" i="3"/>
  <c r="C236" i="3"/>
  <c r="Q236" i="3" s="1"/>
  <c r="D235" i="3"/>
  <c r="C235" i="3"/>
  <c r="AA235" i="3" s="1"/>
  <c r="D234" i="3"/>
  <c r="C234" i="3"/>
  <c r="Q234" i="3" s="1"/>
  <c r="D233" i="3"/>
  <c r="C233" i="3"/>
  <c r="AA233" i="3" s="1"/>
  <c r="D232" i="3"/>
  <c r="C232" i="3"/>
  <c r="Q232" i="3" s="1"/>
  <c r="D231" i="3"/>
  <c r="C231" i="3"/>
  <c r="AA231" i="3" s="1"/>
  <c r="D230" i="3"/>
  <c r="C230" i="3"/>
  <c r="Q230" i="3" s="1"/>
  <c r="D229" i="3"/>
  <c r="C229" i="3"/>
  <c r="AA229" i="3" s="1"/>
  <c r="D228" i="3"/>
  <c r="C228" i="3"/>
  <c r="Q228" i="3" s="1"/>
  <c r="D227" i="3"/>
  <c r="C227" i="3"/>
  <c r="AA227" i="3" s="1"/>
  <c r="D226" i="3"/>
  <c r="C226" i="3"/>
  <c r="Q226" i="3" s="1"/>
  <c r="Q225" i="3"/>
  <c r="D225" i="3"/>
  <c r="C225" i="3"/>
  <c r="AA225" i="3" s="1"/>
  <c r="D224" i="3"/>
  <c r="C224" i="3"/>
  <c r="Q224" i="3" s="1"/>
  <c r="Q223" i="3"/>
  <c r="D223" i="3"/>
  <c r="C223" i="3"/>
  <c r="AA223" i="3" s="1"/>
  <c r="D222" i="3"/>
  <c r="C222" i="3"/>
  <c r="AA222" i="3" s="1"/>
  <c r="D221" i="3"/>
  <c r="C221" i="3"/>
  <c r="AA221" i="3" s="1"/>
  <c r="D220" i="3"/>
  <c r="C220" i="3"/>
  <c r="AA220" i="3" s="1"/>
  <c r="D219" i="3"/>
  <c r="C219" i="3"/>
  <c r="AA219" i="3" s="1"/>
  <c r="D218" i="3"/>
  <c r="R218" i="3" s="1"/>
  <c r="C218" i="3"/>
  <c r="Q218" i="3" s="1"/>
  <c r="D217" i="3"/>
  <c r="C217" i="3"/>
  <c r="AA217" i="3" s="1"/>
  <c r="D216" i="3"/>
  <c r="C216" i="3"/>
  <c r="Q216" i="3" s="1"/>
  <c r="D215" i="3"/>
  <c r="C215" i="3"/>
  <c r="AA215" i="3" s="1"/>
  <c r="D214" i="3"/>
  <c r="C214" i="3"/>
  <c r="Q214" i="3" s="1"/>
  <c r="Q213" i="3"/>
  <c r="D213" i="3"/>
  <c r="C213" i="3"/>
  <c r="AA213" i="3" s="1"/>
  <c r="D212" i="3"/>
  <c r="C212" i="3"/>
  <c r="AA212" i="3" s="1"/>
  <c r="D211" i="3"/>
  <c r="C211" i="3"/>
  <c r="AA211" i="3" s="1"/>
  <c r="D210" i="3"/>
  <c r="C210" i="3"/>
  <c r="Q210" i="3" s="1"/>
  <c r="D209" i="3"/>
  <c r="C209" i="3"/>
  <c r="AA209" i="3" s="1"/>
  <c r="D208" i="3"/>
  <c r="C208" i="3"/>
  <c r="AA208" i="3" s="1"/>
  <c r="D207" i="3"/>
  <c r="C207" i="3"/>
  <c r="AA207" i="3" s="1"/>
  <c r="D206" i="3"/>
  <c r="C206" i="3"/>
  <c r="Q206" i="3" s="1"/>
  <c r="D205" i="3"/>
  <c r="C205" i="3"/>
  <c r="AA205" i="3" s="1"/>
  <c r="D204" i="3"/>
  <c r="C204" i="3"/>
  <c r="Q204" i="3" s="1"/>
  <c r="D203" i="3"/>
  <c r="C203" i="3"/>
  <c r="AA203" i="3" s="1"/>
  <c r="D202" i="3"/>
  <c r="C202" i="3"/>
  <c r="Q202" i="3" s="1"/>
  <c r="D201" i="3"/>
  <c r="C201" i="3"/>
  <c r="AA201" i="3" s="1"/>
  <c r="D200" i="3"/>
  <c r="C200" i="3"/>
  <c r="Q200" i="3" s="1"/>
  <c r="Q199" i="3"/>
  <c r="D199" i="3"/>
  <c r="C199" i="3"/>
  <c r="AA199" i="3" s="1"/>
  <c r="D198" i="3"/>
  <c r="C198" i="3"/>
  <c r="AA198" i="3" s="1"/>
  <c r="L196" i="3"/>
  <c r="K196" i="3"/>
  <c r="J196" i="3"/>
  <c r="I196" i="3"/>
  <c r="H196" i="3"/>
  <c r="G196" i="3"/>
  <c r="F196" i="3"/>
  <c r="E196" i="3"/>
  <c r="S196" i="3" s="1"/>
  <c r="D196" i="3"/>
  <c r="R196" i="3" s="1"/>
  <c r="L194" i="3"/>
  <c r="K194" i="3"/>
  <c r="J194" i="3"/>
  <c r="I194" i="3"/>
  <c r="H194" i="3"/>
  <c r="G194" i="3"/>
  <c r="F194" i="3"/>
  <c r="E194" i="3"/>
  <c r="Y196" i="3"/>
  <c r="Q233" i="3" l="1"/>
  <c r="R238" i="3"/>
  <c r="R214" i="3"/>
  <c r="Q219" i="3"/>
  <c r="T196" i="3"/>
  <c r="Q229" i="3"/>
  <c r="R234" i="3"/>
  <c r="Q205" i="3"/>
  <c r="Q215" i="3"/>
  <c r="R220" i="3"/>
  <c r="Q239" i="3"/>
  <c r="R230" i="3"/>
  <c r="R200" i="3"/>
  <c r="R210" i="3"/>
  <c r="W196" i="3"/>
  <c r="U194" i="3"/>
  <c r="Q211" i="3"/>
  <c r="R216" i="3"/>
  <c r="Q235" i="3"/>
  <c r="R228" i="3"/>
  <c r="Q209" i="3"/>
  <c r="R206" i="3"/>
  <c r="W194" i="3"/>
  <c r="Q221" i="3"/>
  <c r="R226" i="3"/>
  <c r="V196" i="3"/>
  <c r="Z196" i="3"/>
  <c r="Q207" i="3"/>
  <c r="R212" i="3"/>
  <c r="Q231" i="3"/>
  <c r="R236" i="3"/>
  <c r="R204" i="3"/>
  <c r="R224" i="3"/>
  <c r="X196" i="3"/>
  <c r="Q201" i="3"/>
  <c r="V194" i="3"/>
  <c r="Y194" i="3"/>
  <c r="Q217" i="3"/>
  <c r="R222" i="3"/>
  <c r="S194" i="3"/>
  <c r="R202" i="3"/>
  <c r="Z194" i="3"/>
  <c r="Q203" i="3"/>
  <c r="R208" i="3"/>
  <c r="Q227" i="3"/>
  <c r="R232" i="3"/>
  <c r="X194" i="3"/>
  <c r="AA200" i="3"/>
  <c r="AA204" i="3"/>
  <c r="AA210" i="3"/>
  <c r="AA216" i="3"/>
  <c r="AA224" i="3"/>
  <c r="AA226" i="3"/>
  <c r="AA232" i="3"/>
  <c r="AA238" i="3"/>
  <c r="R199" i="3"/>
  <c r="R201" i="3"/>
  <c r="R203" i="3"/>
  <c r="R205" i="3"/>
  <c r="R207" i="3"/>
  <c r="R209" i="3"/>
  <c r="R211" i="3"/>
  <c r="R213" i="3"/>
  <c r="R215" i="3"/>
  <c r="R217" i="3"/>
  <c r="R219" i="3"/>
  <c r="R221" i="3"/>
  <c r="R223" i="3"/>
  <c r="R225" i="3"/>
  <c r="R227" i="3"/>
  <c r="R229" i="3"/>
  <c r="R231" i="3"/>
  <c r="R233" i="3"/>
  <c r="R235" i="3"/>
  <c r="R237" i="3"/>
  <c r="R239" i="3"/>
  <c r="T194" i="3"/>
  <c r="U196" i="3"/>
  <c r="AA202" i="3"/>
  <c r="AA206" i="3"/>
  <c r="AA214" i="3"/>
  <c r="AA218" i="3"/>
  <c r="AA228" i="3"/>
  <c r="AA230" i="3"/>
  <c r="AA234" i="3"/>
  <c r="AA236" i="3"/>
  <c r="Q198" i="3"/>
  <c r="Q208" i="3"/>
  <c r="Q212" i="3"/>
  <c r="Q220" i="3"/>
  <c r="Q222" i="3"/>
  <c r="AL194" i="3" l="1"/>
  <c r="AB221" i="3"/>
  <c r="AB213" i="3"/>
  <c r="AB227" i="3" l="1"/>
  <c r="AB219" i="3"/>
  <c r="AB229" i="3"/>
  <c r="AB231" i="3"/>
  <c r="AB209" i="3"/>
  <c r="AB211" i="3"/>
  <c r="AB207" i="3"/>
  <c r="AB215" i="3"/>
  <c r="AB225" i="3"/>
  <c r="AB223" i="3"/>
  <c r="AB217" i="3"/>
  <c r="AB233" i="3"/>
  <c r="AB232" i="3"/>
  <c r="AB226" i="3"/>
  <c r="AB222" i="3"/>
  <c r="AB204" i="3"/>
  <c r="AB236" i="3"/>
  <c r="AB224" i="3"/>
  <c r="AB214" i="3"/>
  <c r="AB228" i="3"/>
  <c r="AB208" i="3"/>
  <c r="AB202" i="3"/>
  <c r="AB234" i="3"/>
  <c r="AB230" i="3"/>
  <c r="AB212" i="3"/>
  <c r="AB218" i="3"/>
  <c r="AB216" i="3"/>
  <c r="AB238" i="3"/>
  <c r="AB210" i="3"/>
  <c r="AB206" i="3"/>
  <c r="AB220" i="3"/>
  <c r="AB239" i="3"/>
  <c r="AB203" i="3"/>
  <c r="AB235" i="3"/>
  <c r="AB205" i="3"/>
  <c r="AB237" i="3"/>
  <c r="AB201" i="3"/>
</calcChain>
</file>

<file path=xl/sharedStrings.xml><?xml version="1.0" encoding="utf-8"?>
<sst xmlns="http://schemas.openxmlformats.org/spreadsheetml/2006/main" count="981" uniqueCount="140">
  <si>
    <t>A</t>
  </si>
  <si>
    <t>B</t>
  </si>
  <si>
    <t>No CPA cntr</t>
  </si>
  <si>
    <t>CMU 1</t>
  </si>
  <si>
    <t>CMU 7</t>
  </si>
  <si>
    <t>CMU 13</t>
  </si>
  <si>
    <t>CMU 19</t>
  </si>
  <si>
    <t>CMU 25</t>
  </si>
  <si>
    <t>CMU 31</t>
  </si>
  <si>
    <t>CMU 37</t>
  </si>
  <si>
    <t>C</t>
  </si>
  <si>
    <t>5M PD cntr</t>
  </si>
  <si>
    <t>CMU 2</t>
  </si>
  <si>
    <t>CMU 8</t>
  </si>
  <si>
    <t>CMU 14</t>
  </si>
  <si>
    <t>CMU 20</t>
  </si>
  <si>
    <t>CMU 26</t>
  </si>
  <si>
    <t>CMU 32</t>
  </si>
  <si>
    <t>CMU 38</t>
  </si>
  <si>
    <t>D</t>
  </si>
  <si>
    <t>CMU 3</t>
  </si>
  <si>
    <t>CMU 9</t>
  </si>
  <si>
    <t>CMU 15</t>
  </si>
  <si>
    <t>CMU 21</t>
  </si>
  <si>
    <t>CMU 27</t>
  </si>
  <si>
    <t>CMU 33</t>
  </si>
  <si>
    <t>CMU 39</t>
  </si>
  <si>
    <t>E</t>
  </si>
  <si>
    <t>CMU 4</t>
  </si>
  <si>
    <t>CMU 10</t>
  </si>
  <si>
    <t>CMU 16</t>
  </si>
  <si>
    <t>CMU 22</t>
  </si>
  <si>
    <t>CMU 28</t>
  </si>
  <si>
    <t>CMU 34</t>
  </si>
  <si>
    <t>CMU 40</t>
  </si>
  <si>
    <t>F</t>
  </si>
  <si>
    <t>CMU 5</t>
  </si>
  <si>
    <t>CMU 11</t>
  </si>
  <si>
    <t>CMU 17</t>
  </si>
  <si>
    <t>CMU 23</t>
  </si>
  <si>
    <t>CMU 29</t>
  </si>
  <si>
    <t>CMU 35</t>
  </si>
  <si>
    <t>CMU 41</t>
  </si>
  <si>
    <t>G</t>
  </si>
  <si>
    <t>CMU 6</t>
  </si>
  <si>
    <t>CMU 12</t>
  </si>
  <si>
    <t>CMU 18</t>
  </si>
  <si>
    <t>CMU 24</t>
  </si>
  <si>
    <t>CMU 30</t>
  </si>
  <si>
    <t>CMU 36</t>
  </si>
  <si>
    <t>CMU 42</t>
  </si>
  <si>
    <t>H</t>
  </si>
  <si>
    <t>CMU 1-42</t>
  </si>
  <si>
    <t>Software Version</t>
  </si>
  <si>
    <t>3.12.08</t>
  </si>
  <si>
    <t>Experiment File Path:</t>
  </si>
  <si>
    <t>Protocol File Path:</t>
  </si>
  <si>
    <t>C:\Users\Public\Documents\Protocols\MTT Corrected.prt</t>
  </si>
  <si>
    <t>Plate Number</t>
  </si>
  <si>
    <t>Plate 1</t>
  </si>
  <si>
    <t>Date</t>
  </si>
  <si>
    <t>Time</t>
  </si>
  <si>
    <t>Reader Type:</t>
  </si>
  <si>
    <t>Synergy HTX</t>
  </si>
  <si>
    <t>Reader Serial Number:</t>
  </si>
  <si>
    <t>2207142D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</si>
  <si>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</si>
  <si>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</si>
  <si>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</si>
  <si>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</si>
  <si>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</si>
  <si>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</si>
  <si>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</si>
  <si>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</si>
  <si>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</si>
  <si>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570</t>
  </si>
  <si>
    <t>Pathlength Correction: 977 / 900</t>
  </si>
  <si>
    <t xml:space="preserve">    Absorbance at 1 cm: 0.18</t>
  </si>
  <si>
    <t>Read Speed: Normal,  Delay: 100 msec,  Measurements/Data Point: 8</t>
  </si>
  <si>
    <t>Results</t>
  </si>
  <si>
    <t>Actual Temperature:</t>
  </si>
  <si>
    <t>977 [Test]</t>
  </si>
  <si>
    <t>900 [Ref]</t>
  </si>
  <si>
    <t>Pathlength</t>
  </si>
  <si>
    <t>Corrected [570]</t>
  </si>
  <si>
    <t>RAW</t>
  </si>
  <si>
    <t>Adjusted</t>
  </si>
  <si>
    <t>Background AV</t>
  </si>
  <si>
    <t>Signal window</t>
  </si>
  <si>
    <t>(-) control</t>
  </si>
  <si>
    <t>Media cntr</t>
  </si>
  <si>
    <t>Average</t>
  </si>
  <si>
    <t>Z-factor</t>
  </si>
  <si>
    <t>SD</t>
  </si>
  <si>
    <t>20% AV</t>
  </si>
  <si>
    <t>3x SD</t>
  </si>
  <si>
    <t>SD % of ASV</t>
  </si>
  <si>
    <t>3xSD</t>
  </si>
  <si>
    <t>CPA cocktail composition (final molarity)</t>
  </si>
  <si>
    <t>CPA</t>
  </si>
  <si>
    <t>Glycerol: 6M</t>
  </si>
  <si>
    <t>DMSO</t>
  </si>
  <si>
    <t>EG</t>
  </si>
  <si>
    <t>12PD</t>
  </si>
  <si>
    <t>13PD</t>
  </si>
  <si>
    <t>3M12PD</t>
  </si>
  <si>
    <t>Urea</t>
  </si>
  <si>
    <t>Total molarity</t>
  </si>
  <si>
    <t>CPA molarity</t>
  </si>
  <si>
    <t>Signal window = AV- 20% AV</t>
  </si>
  <si>
    <t>Background Adjusted OD</t>
  </si>
  <si>
    <t>Plate 2</t>
  </si>
  <si>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</si>
  <si>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</si>
  <si>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</si>
  <si>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</si>
  <si>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</si>
  <si>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</si>
  <si>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</si>
  <si>
    <t>Viability</t>
  </si>
  <si>
    <t>Plate 1 Full</t>
  </si>
  <si>
    <t>Viability average</t>
  </si>
  <si>
    <t>AV control</t>
  </si>
  <si>
    <t>SD control</t>
  </si>
  <si>
    <t>AV + 3xSD</t>
  </si>
  <si>
    <t>AV - 3xSD</t>
  </si>
  <si>
    <t>Z-score</t>
  </si>
  <si>
    <t>CPA source plate made</t>
  </si>
  <si>
    <t>Fresh</t>
  </si>
  <si>
    <t>SIGNAL WINDOW SETTINGS</t>
  </si>
  <si>
    <t># of SD</t>
  </si>
  <si>
    <t>% of AV</t>
  </si>
  <si>
    <t>Controls Adjusted</t>
  </si>
  <si>
    <t>Controls</t>
  </si>
  <si>
    <t>Normalized</t>
  </si>
  <si>
    <t>Stdev</t>
  </si>
  <si>
    <t>3.13.24</t>
  </si>
  <si>
    <t>CMU 43-46</t>
  </si>
  <si>
    <t>Predicted % Viability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</si>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</sst>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  <font>
      <b/>
      <sz val="10"/>
      <name val="Arial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/>
      <top/>
      <bottom/>
      <diagonal style="thin">
        <color auto="1"/>
      </diagonal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0" fillId="2" borderId="0" xfId="0" applyFill="1"/>
    <xf numFmtId="0" fontId="4" fillId="4" borderId="0" xfId="0" applyFont="1" applyFill="1"/>
    <xf numFmtId="0" fontId="5" fillId="5" borderId="0" xfId="0" applyFont="1" applyFill="1"/>
    <xf numFmtId="14" fontId="0" fillId="0" borderId="0" xfId="0" applyNumberFormat="1"/>
    <xf numFmtId="19" fontId="0" fillId="0" borderId="0" xfId="0" applyNumberForma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7" fillId="19" borderId="2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7" fillId="20" borderId="3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14" fontId="0" fillId="5" borderId="0" xfId="0" applyNumberFormat="1" applyFill="1"/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5" xfId="0" applyFont="1" applyBorder="1"/>
    <xf numFmtId="0" fontId="7" fillId="9" borderId="5" xfId="0" applyFont="1" applyFill="1" applyBorder="1" applyAlignment="1">
      <alignment horizontal="center" vertical="center" wrapText="1"/>
    </xf>
    <xf numFmtId="0" fontId="7" fillId="16" borderId="5" xfId="0" applyFont="1" applyFill="1" applyBorder="1" applyAlignment="1">
      <alignment horizontal="center" vertical="center" wrapText="1"/>
    </xf>
    <xf numFmtId="0" fontId="7" fillId="17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7" fillId="15" borderId="5" xfId="0" applyFont="1" applyFill="1" applyBorder="1" applyAlignment="1">
      <alignment horizontal="center" vertical="center" wrapText="1"/>
    </xf>
    <xf numFmtId="0" fontId="7" fillId="14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7" fillId="13" borderId="5" xfId="0" applyFont="1" applyFill="1" applyBorder="1" applyAlignment="1">
      <alignment horizontal="center" vertical="center" wrapText="1"/>
    </xf>
    <xf numFmtId="0" fontId="7" fillId="20" borderId="5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0" fillId="0" borderId="0" xfId="0" applyFont="1"/>
    <xf numFmtId="0" fontId="0" fillId="21" borderId="0" xfId="0" applyFill="1"/>
    <xf numFmtId="0" fontId="5" fillId="0" borderId="0" xfId="0" applyFont="1"/>
    <xf numFmtId="0" fontId="10" fillId="22" borderId="0" xfId="0" applyFont="1" applyFill="1"/>
    <xf numFmtId="0" fontId="10" fillId="23" borderId="0" xfId="0" applyFont="1" applyFill="1"/>
    <xf numFmtId="0" fontId="0" fillId="0" borderId="6" xfId="0" applyBorder="1" applyAlignment="1">
      <alignment wrapText="1"/>
    </xf>
    <xf numFmtId="0" fontId="0" fillId="0" borderId="0" xfId="0" applyAlignment="1">
      <alignment horizontal="center" wrapText="1"/>
    </xf>
    <xf numFmtId="164" fontId="4" fillId="0" borderId="9" xfId="0" applyNumberFormat="1" applyFont="1" applyBorder="1" applyAlignment="1">
      <alignment wrapText="1"/>
    </xf>
    <xf numFmtId="0" fontId="0" fillId="5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4" fillId="24" borderId="13" xfId="0" applyFont="1" applyFill="1" applyBorder="1" applyAlignment="1">
      <alignment horizontal="center" vertical="center" wrapText="1"/>
    </xf>
    <xf numFmtId="0" fontId="0" fillId="24" borderId="14" xfId="0" applyFill="1" applyBorder="1" applyAlignment="1">
      <alignment wrapText="1"/>
    </xf>
    <xf numFmtId="0" fontId="0" fillId="24" borderId="5" xfId="0" applyFill="1" applyBorder="1" applyAlignment="1">
      <alignment wrapText="1"/>
    </xf>
    <xf numFmtId="0" fontId="0" fillId="24" borderId="15" xfId="0" applyFill="1" applyBorder="1" applyAlignment="1">
      <alignment wrapText="1"/>
    </xf>
    <xf numFmtId="0" fontId="0" fillId="24" borderId="16" xfId="0" applyFill="1" applyBorder="1" applyAlignment="1">
      <alignment wrapText="1"/>
    </xf>
    <xf numFmtId="0" fontId="0" fillId="24" borderId="17" xfId="0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7" xfId="0" applyBorder="1" applyAlignment="1">
      <alignment wrapText="1"/>
    </xf>
    <xf numFmtId="0" fontId="2" fillId="0" borderId="0" xfId="0" applyFont="1"/>
    <xf numFmtId="0" fontId="0" fillId="0" borderId="5" xfId="0" applyBorder="1"/>
    <xf numFmtId="0" fontId="0" fillId="24" borderId="20" xfId="0" applyFill="1" applyBorder="1" applyAlignment="1">
      <alignment wrapText="1"/>
    </xf>
    <xf numFmtId="0" fontId="0" fillId="22" borderId="5" xfId="0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2" fillId="5" borderId="5" xfId="0" applyFont="1" applyFill="1" applyBorder="1"/>
    <xf numFmtId="0" fontId="11" fillId="25" borderId="5" xfId="0" applyFont="1" applyFill="1" applyBorder="1"/>
    <xf numFmtId="0" fontId="11" fillId="25" borderId="21" xfId="0" applyFont="1" applyFill="1" applyBorder="1"/>
    <xf numFmtId="0" fontId="11" fillId="25" borderId="20" xfId="0" applyFont="1" applyFill="1" applyBorder="1"/>
    <xf numFmtId="0" fontId="12" fillId="26" borderId="5" xfId="0" applyFont="1" applyFill="1" applyBorder="1"/>
    <xf numFmtId="0" fontId="11" fillId="25" borderId="22" xfId="0" applyFont="1" applyFill="1" applyBorder="1"/>
    <xf numFmtId="0" fontId="11" fillId="25" borderId="23" xfId="0" applyFont="1" applyFill="1" applyBorder="1"/>
    <xf numFmtId="0" fontId="11" fillId="25" borderId="19" xfId="0" applyFont="1" applyFill="1" applyBorder="1"/>
    <xf numFmtId="0" fontId="11" fillId="27" borderId="22" xfId="0" applyFont="1" applyFill="1" applyBorder="1"/>
    <xf numFmtId="0" fontId="11" fillId="27" borderId="23" xfId="0" applyFont="1" applyFill="1" applyBorder="1"/>
    <xf numFmtId="0" fontId="11" fillId="27" borderId="19" xfId="0" applyFont="1" applyFill="1" applyBorder="1"/>
    <xf numFmtId="0" fontId="2" fillId="28" borderId="5" xfId="0" applyFont="1" applyFill="1" applyBorder="1"/>
    <xf numFmtId="0" fontId="11" fillId="29" borderId="22" xfId="0" applyFont="1" applyFill="1" applyBorder="1"/>
    <xf numFmtId="0" fontId="11" fillId="29" borderId="23" xfId="0" applyFont="1" applyFill="1" applyBorder="1"/>
    <xf numFmtId="0" fontId="11" fillId="29" borderId="19" xfId="0" applyFont="1" applyFill="1" applyBorder="1"/>
    <xf numFmtId="0" fontId="2" fillId="30" borderId="5" xfId="0" applyFont="1" applyFill="1" applyBorder="1"/>
    <xf numFmtId="0" fontId="11" fillId="31" borderId="22" xfId="0" applyFont="1" applyFill="1" applyBorder="1"/>
    <xf numFmtId="0" fontId="11" fillId="31" borderId="23" xfId="0" applyFont="1" applyFill="1" applyBorder="1"/>
    <xf numFmtId="0" fontId="11" fillId="31" borderId="19" xfId="0" applyFont="1" applyFill="1" applyBorder="1"/>
    <xf numFmtId="0" fontId="2" fillId="21" borderId="5" xfId="0" applyFont="1" applyFill="1" applyBorder="1"/>
    <xf numFmtId="0" fontId="0" fillId="33" borderId="5" xfId="0" applyFill="1" applyBorder="1"/>
    <xf numFmtId="0" fontId="1" fillId="0" borderId="0" xfId="0" applyFont="1"/>
    <xf numFmtId="0" fontId="10" fillId="34" borderId="5" xfId="0" applyFont="1" applyFill="1" applyBorder="1"/>
    <xf numFmtId="0" fontId="10" fillId="33" borderId="5" xfId="0" applyFont="1" applyFill="1" applyBorder="1"/>
    <xf numFmtId="0" fontId="0" fillId="34" borderId="5" xfId="0" applyFill="1" applyBorder="1"/>
    <xf numFmtId="0" fontId="5" fillId="34" borderId="5" xfId="0" applyFont="1" applyFill="1" applyBorder="1"/>
    <xf numFmtId="0" fontId="5" fillId="33" borderId="5" xfId="0" applyFont="1" applyFill="1" applyBorder="1"/>
    <xf numFmtId="0" fontId="0" fillId="26" borderId="5" xfId="0" applyFill="1" applyBorder="1"/>
    <xf numFmtId="0" fontId="5" fillId="26" borderId="5" xfId="0" applyFont="1" applyFill="1" applyBorder="1"/>
    <xf numFmtId="0" fontId="4" fillId="0" borderId="5" xfId="0" applyFont="1" applyBorder="1"/>
    <xf numFmtId="0" fontId="2" fillId="26" borderId="5" xfId="0" applyFont="1" applyFill="1" applyBorder="1"/>
    <xf numFmtId="0" fontId="0" fillId="28" borderId="5" xfId="0" applyFill="1" applyBorder="1"/>
    <xf numFmtId="0" fontId="0" fillId="35" borderId="5" xfId="0" applyFill="1" applyBorder="1"/>
    <xf numFmtId="0" fontId="0" fillId="21" borderId="5" xfId="0" applyFill="1" applyBorder="1"/>
    <xf numFmtId="0" fontId="7" fillId="17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7" fillId="19" borderId="5" xfId="0" applyFont="1" applyFill="1" applyBorder="1" applyAlignment="1">
      <alignment horizontal="center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1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" fillId="28" borderId="5" xfId="0" applyFont="1" applyFill="1" applyBorder="1" applyAlignment="1">
      <alignment horizontal="center"/>
    </xf>
    <xf numFmtId="0" fontId="2" fillId="30" borderId="5" xfId="0" applyFont="1" applyFill="1" applyBorder="1" applyAlignment="1">
      <alignment horizontal="center"/>
    </xf>
    <xf numFmtId="0" fontId="2" fillId="21" borderId="5" xfId="0" applyFont="1" applyFill="1" applyBorder="1" applyAlignment="1">
      <alignment horizontal="center"/>
    </xf>
    <xf numFmtId="0" fontId="0" fillId="33" borderId="5" xfId="0" applyFill="1" applyBorder="1" applyAlignment="1">
      <alignment horizontal="center"/>
    </xf>
    <xf numFmtId="0" fontId="5" fillId="33" borderId="5" xfId="0" applyFont="1" applyFill="1" applyBorder="1" applyAlignment="1">
      <alignment horizontal="center" vertical="center"/>
    </xf>
    <xf numFmtId="0" fontId="0" fillId="33" borderId="5" xfId="0" applyFill="1" applyBorder="1" applyAlignment="1">
      <alignment horizontal="center" vertical="center"/>
    </xf>
    <xf numFmtId="0" fontId="5" fillId="34" borderId="5" xfId="0" applyFont="1" applyFill="1" applyBorder="1" applyAlignment="1">
      <alignment horizontal="center" vertical="center"/>
    </xf>
    <xf numFmtId="0" fontId="0" fillId="3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22" borderId="25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22" borderId="15" xfId="0" applyFont="1" applyFill="1" applyBorder="1" applyAlignment="1">
      <alignment horizontal="center"/>
    </xf>
    <xf numFmtId="0" fontId="5" fillId="22" borderId="20" xfId="0" applyFont="1" applyFill="1" applyBorder="1" applyAlignment="1">
      <alignment horizontal="center"/>
    </xf>
    <xf numFmtId="0" fontId="5" fillId="22" borderId="21" xfId="0" applyFont="1" applyFill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14" fontId="2" fillId="0" borderId="15" xfId="0" applyNumberFormat="1" applyFont="1" applyBorder="1" applyAlignment="1">
      <alignment horizontal="center"/>
    </xf>
    <xf numFmtId="14" fontId="2" fillId="0" borderId="20" xfId="0" applyNumberFormat="1" applyFont="1" applyBorder="1" applyAlignment="1">
      <alignment horizontal="center"/>
    </xf>
    <xf numFmtId="14" fontId="2" fillId="0" borderId="21" xfId="0" applyNumberFormat="1" applyFont="1" applyBorder="1" applyAlignment="1">
      <alignment horizontal="center"/>
    </xf>
    <xf numFmtId="0" fontId="13" fillId="32" borderId="15" xfId="0" applyFont="1" applyFill="1" applyBorder="1" applyAlignment="1">
      <alignment horizontal="center"/>
    </xf>
    <xf numFmtId="0" fontId="13" fillId="32" borderId="20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14" fontId="2" fillId="0" borderId="25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22" borderId="15" xfId="0" applyFill="1" applyBorder="1" applyAlignment="1">
      <alignment horizontal="center"/>
    </xf>
    <xf numFmtId="0" fontId="0" fillId="22" borderId="20" xfId="0" applyFill="1" applyBorder="1" applyAlignment="1">
      <alignment horizontal="center"/>
    </xf>
    <xf numFmtId="0" fontId="0" fillId="22" borderId="21" xfId="0" applyFill="1" applyBorder="1" applyAlignment="1">
      <alignment horizontal="center"/>
    </xf>
    <xf numFmtId="0" fontId="12" fillId="26" borderId="5" xfId="0" applyFont="1" applyFill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AF1EE-3B77-8F4D-9255-258988A84AC3}">
  <dimension ref="A2:O267"/>
  <sheetViews>
    <sheetView topLeftCell="A203" workbookViewId="0">
      <selection activeCell="E236" sqref="E236"/>
    </sheetView>
  </sheetViews>
  <sheetFormatPr baseColWidth="10" defaultRowHeight="16" x14ac:dyDescent="0.2"/>
  <cols>
    <col min="1" max="1" width="22.33203125" bestFit="1" customWidth="1"/>
  </cols>
  <sheetData>
    <row r="2" spans="1:6" x14ac:dyDescent="0.2">
      <c r="A2" t="s">
        <v>53</v>
      </c>
      <c r="B2" t="s">
        <v>54</v>
      </c>
      <c r="D2" s="7" t="s">
        <v>52</v>
      </c>
      <c r="E2" s="40">
        <v>45364</v>
      </c>
      <c r="F2" s="7" t="s">
        <v>113</v>
      </c>
    </row>
    <row r="4" spans="1:6" x14ac:dyDescent="0.2">
      <c r="A4" t="s">
        <v>55</v>
      </c>
    </row>
    <row r="5" spans="1:6" x14ac:dyDescent="0.2">
      <c r="A5" t="s">
        <v>56</v>
      </c>
      <c r="B5" t="s">
        <v>57</v>
      </c>
    </row>
    <row r="6" spans="1:6" x14ac:dyDescent="0.2">
      <c r="A6" t="s">
        <v>58</v>
      </c>
      <c r="B6" t="s">
        <v>113</v>
      </c>
    </row>
    <row r="7" spans="1:6" x14ac:dyDescent="0.2">
      <c r="A7" t="s">
        <v>60</v>
      </c>
      <c r="B7" s="8">
        <v>45364</v>
      </c>
    </row>
    <row r="8" spans="1:6" x14ac:dyDescent="0.2">
      <c r="A8" t="s">
        <v>61</v>
      </c>
      <c r="B8" s="9">
        <v>0.65341435185185182</v>
      </c>
    </row>
    <row r="9" spans="1:6" x14ac:dyDescent="0.2">
      <c r="A9" t="s">
        <v>62</v>
      </c>
      <c r="B9" t="s">
        <v>63</v>
      </c>
    </row>
    <row r="10" spans="1:6" x14ac:dyDescent="0.2">
      <c r="A10" t="s">
        <v>64</v>
      </c>
      <c r="B10" t="s">
        <v>65</v>
      </c>
    </row>
    <row r="11" spans="1:6" x14ac:dyDescent="0.2">
      <c r="A11" t="s">
        <v>66</v>
      </c>
      <c r="B11" t="s">
        <v>67</v>
      </c>
    </row>
    <row r="13" spans="1:6" x14ac:dyDescent="0.2">
      <c r="A13" s="10" t="s">
        <v>68</v>
      </c>
      <c r="B13" s="11"/>
    </row>
    <row r="14" spans="1:6" x14ac:dyDescent="0.2">
      <c r="A14" t="s">
        <v>69</v>
      </c>
      <c r="B14" t="s">
        <v>70</v>
      </c>
    </row>
    <row r="15" spans="1:6" x14ac:dyDescent="0.2">
      <c r="A15" t="s">
        <v>71</v>
      </c>
    </row>
    <row r="16" spans="1:6" x14ac:dyDescent="0.2">
      <c r="A16" t="s">
        <v>72</v>
      </c>
      <c r="B16" t="s">
        <v>73</v>
      </c>
    </row>
    <row r="17" spans="1:15" x14ac:dyDescent="0.2">
      <c r="B17" t="s">
        <v>74</v>
      </c>
    </row>
    <row r="18" spans="1:15" x14ac:dyDescent="0.2">
      <c r="B18" t="s">
        <v>75</v>
      </c>
    </row>
    <row r="19" spans="1:15" x14ac:dyDescent="0.2">
      <c r="B19" t="s">
        <v>76</v>
      </c>
    </row>
    <row r="20" spans="1:15" x14ac:dyDescent="0.2">
      <c r="B20" t="s">
        <v>77</v>
      </c>
    </row>
    <row r="21" spans="1:15" x14ac:dyDescent="0.2">
      <c r="B21" t="s">
        <v>78</v>
      </c>
    </row>
    <row r="23" spans="1:15" x14ac:dyDescent="0.2">
      <c r="A23" s="10" t="s">
        <v>79</v>
      </c>
      <c r="B23" s="11"/>
    </row>
    <row r="24" spans="1:15" x14ac:dyDescent="0.2">
      <c r="A24" t="s">
        <v>80</v>
      </c>
      <c r="B24">
        <v>21.3</v>
      </c>
    </row>
    <row r="26" spans="1:15" x14ac:dyDescent="0.2">
      <c r="B26" s="12"/>
      <c r="C26" s="13">
        <v>1</v>
      </c>
      <c r="D26" s="13">
        <v>2</v>
      </c>
      <c r="E26" s="13">
        <v>3</v>
      </c>
      <c r="F26" s="13">
        <v>4</v>
      </c>
      <c r="G26" s="13">
        <v>5</v>
      </c>
      <c r="H26" s="13">
        <v>6</v>
      </c>
      <c r="I26" s="13">
        <v>7</v>
      </c>
      <c r="J26" s="13">
        <v>8</v>
      </c>
      <c r="K26" s="13">
        <v>9</v>
      </c>
      <c r="L26" s="13">
        <v>10</v>
      </c>
      <c r="M26" s="13">
        <v>11</v>
      </c>
      <c r="N26" s="13">
        <v>12</v>
      </c>
    </row>
    <row r="27" spans="1:15" x14ac:dyDescent="0.2">
      <c r="B27" s="126" t="s">
        <v>0</v>
      </c>
      <c r="C27" s="14">
        <v>0.05</v>
      </c>
      <c r="D27" s="14">
        <v>0.05</v>
      </c>
      <c r="E27" s="14">
        <v>0.05</v>
      </c>
      <c r="F27" s="14">
        <v>4.9000000000000002E-2</v>
      </c>
      <c r="G27" s="16">
        <v>4.8000000000000001E-2</v>
      </c>
      <c r="H27" s="14">
        <v>4.9000000000000002E-2</v>
      </c>
      <c r="I27" s="15">
        <v>5.0999999999999997E-2</v>
      </c>
      <c r="J27" s="14">
        <v>5.0999999999999997E-2</v>
      </c>
      <c r="K27" s="14">
        <v>0.05</v>
      </c>
      <c r="L27" s="16">
        <v>4.8000000000000001E-2</v>
      </c>
      <c r="M27" s="15">
        <v>5.1999999999999998E-2</v>
      </c>
      <c r="N27" s="16">
        <v>4.7E-2</v>
      </c>
      <c r="O27" s="18" t="s">
        <v>81</v>
      </c>
    </row>
    <row r="28" spans="1:15" x14ac:dyDescent="0.2">
      <c r="B28" s="127"/>
      <c r="C28" s="21">
        <v>4.3999999999999997E-2</v>
      </c>
      <c r="D28" s="21">
        <v>4.2999999999999997E-2</v>
      </c>
      <c r="E28" s="21">
        <v>4.3999999999999997E-2</v>
      </c>
      <c r="F28" s="19">
        <v>4.2999999999999997E-2</v>
      </c>
      <c r="G28" s="19">
        <v>4.2000000000000003E-2</v>
      </c>
      <c r="H28" s="19">
        <v>4.2999999999999997E-2</v>
      </c>
      <c r="I28" s="20">
        <v>4.5999999999999999E-2</v>
      </c>
      <c r="J28" s="21">
        <v>4.3999999999999997E-2</v>
      </c>
      <c r="K28" s="21">
        <v>4.3999999999999997E-2</v>
      </c>
      <c r="L28" s="19">
        <v>4.2000000000000003E-2</v>
      </c>
      <c r="M28" s="20">
        <v>4.5999999999999999E-2</v>
      </c>
      <c r="N28" s="19">
        <v>4.2000000000000003E-2</v>
      </c>
      <c r="O28" s="18" t="s">
        <v>82</v>
      </c>
    </row>
    <row r="29" spans="1:15" x14ac:dyDescent="0.2">
      <c r="B29" s="127"/>
      <c r="C29" s="32">
        <v>3.4000000000000002E-2</v>
      </c>
      <c r="D29" s="30">
        <v>3.5999999999999997E-2</v>
      </c>
      <c r="E29" s="39">
        <v>2.9000000000000001E-2</v>
      </c>
      <c r="F29" s="30">
        <v>3.5000000000000003E-2</v>
      </c>
      <c r="G29" s="36">
        <v>3.2000000000000001E-2</v>
      </c>
      <c r="H29" s="32">
        <v>3.3000000000000002E-2</v>
      </c>
      <c r="I29" s="36">
        <v>3.2000000000000001E-2</v>
      </c>
      <c r="J29" s="32">
        <v>3.4000000000000002E-2</v>
      </c>
      <c r="K29" s="36">
        <v>3.1E-2</v>
      </c>
      <c r="L29" s="32">
        <v>3.4000000000000002E-2</v>
      </c>
      <c r="M29" s="36">
        <v>3.1E-2</v>
      </c>
      <c r="N29" s="22">
        <v>2.9000000000000001E-2</v>
      </c>
      <c r="O29" s="18" t="s">
        <v>83</v>
      </c>
    </row>
    <row r="30" spans="1:15" x14ac:dyDescent="0.2">
      <c r="B30" s="127"/>
      <c r="C30" s="19">
        <v>4.2000000000000003E-2</v>
      </c>
      <c r="D30" s="19">
        <v>4.2000000000000003E-2</v>
      </c>
      <c r="E30" s="19">
        <v>4.2999999999999997E-2</v>
      </c>
      <c r="F30" s="19">
        <v>4.2000000000000003E-2</v>
      </c>
      <c r="G30" s="19">
        <v>4.2000000000000003E-2</v>
      </c>
      <c r="H30" s="19">
        <v>4.1000000000000002E-2</v>
      </c>
      <c r="I30" s="19">
        <v>4.3999999999999997E-2</v>
      </c>
      <c r="J30" s="19">
        <v>4.3999999999999997E-2</v>
      </c>
      <c r="K30" s="19">
        <v>4.2000000000000003E-2</v>
      </c>
      <c r="L30" s="19">
        <v>4.2000000000000003E-2</v>
      </c>
      <c r="M30" s="19">
        <v>4.3999999999999997E-2</v>
      </c>
      <c r="N30" s="19">
        <v>4.1000000000000002E-2</v>
      </c>
      <c r="O30" s="18">
        <v>570</v>
      </c>
    </row>
    <row r="31" spans="1:15" x14ac:dyDescent="0.2">
      <c r="B31" s="128"/>
      <c r="C31" s="27">
        <v>1.2390000000000001</v>
      </c>
      <c r="D31" s="27">
        <v>1.19</v>
      </c>
      <c r="E31" s="27">
        <v>1.4710000000000001</v>
      </c>
      <c r="F31" s="27">
        <v>1.2030000000000001</v>
      </c>
      <c r="G31" s="27">
        <v>1.3029999999999999</v>
      </c>
      <c r="H31" s="27">
        <v>1.2390000000000001</v>
      </c>
      <c r="I31" s="27">
        <v>1.381</v>
      </c>
      <c r="J31" s="27">
        <v>1.298</v>
      </c>
      <c r="K31" s="27">
        <v>1.363</v>
      </c>
      <c r="L31" s="27">
        <v>1.248</v>
      </c>
      <c r="M31" s="27">
        <v>1.417</v>
      </c>
      <c r="N31" s="27">
        <v>1.4330000000000001</v>
      </c>
      <c r="O31" s="18" t="s">
        <v>84</v>
      </c>
    </row>
    <row r="32" spans="1:15" x14ac:dyDescent="0.2">
      <c r="B32" s="126" t="s">
        <v>1</v>
      </c>
      <c r="C32" s="16">
        <v>4.8000000000000001E-2</v>
      </c>
      <c r="D32" s="29">
        <v>5.7000000000000002E-2</v>
      </c>
      <c r="E32" s="33">
        <v>0.06</v>
      </c>
      <c r="F32" s="14">
        <v>4.9000000000000002E-2</v>
      </c>
      <c r="G32" s="14">
        <v>4.9000000000000002E-2</v>
      </c>
      <c r="H32" s="33">
        <v>5.8999999999999997E-2</v>
      </c>
      <c r="I32" s="15">
        <v>5.2999999999999999E-2</v>
      </c>
      <c r="J32" s="15">
        <v>5.0999999999999997E-2</v>
      </c>
      <c r="K32" s="15">
        <v>5.0999999999999997E-2</v>
      </c>
      <c r="L32" s="33">
        <v>5.8000000000000003E-2</v>
      </c>
      <c r="M32" s="14">
        <v>4.9000000000000002E-2</v>
      </c>
      <c r="N32" s="28">
        <v>5.3999999999999999E-2</v>
      </c>
      <c r="O32" s="18" t="s">
        <v>81</v>
      </c>
    </row>
    <row r="33" spans="2:15" x14ac:dyDescent="0.2">
      <c r="B33" s="127"/>
      <c r="C33" s="19">
        <v>4.2999999999999997E-2</v>
      </c>
      <c r="D33" s="25">
        <v>5.1999999999999998E-2</v>
      </c>
      <c r="E33" s="24">
        <v>5.6000000000000001E-2</v>
      </c>
      <c r="F33" s="21">
        <v>4.3999999999999997E-2</v>
      </c>
      <c r="G33" s="19">
        <v>4.2999999999999997E-2</v>
      </c>
      <c r="H33" s="23">
        <v>5.3999999999999999E-2</v>
      </c>
      <c r="I33" s="20">
        <v>4.7E-2</v>
      </c>
      <c r="J33" s="21">
        <v>4.4999999999999998E-2</v>
      </c>
      <c r="K33" s="21">
        <v>4.4999999999999998E-2</v>
      </c>
      <c r="L33" s="23">
        <v>5.2999999999999999E-2</v>
      </c>
      <c r="M33" s="19">
        <v>4.2000000000000003E-2</v>
      </c>
      <c r="N33" s="26">
        <v>4.9000000000000002E-2</v>
      </c>
      <c r="O33" s="18" t="s">
        <v>82</v>
      </c>
    </row>
    <row r="34" spans="2:15" x14ac:dyDescent="0.2">
      <c r="B34" s="127"/>
      <c r="C34" s="22">
        <v>2.8000000000000001E-2</v>
      </c>
      <c r="D34" s="39">
        <v>3.1E-2</v>
      </c>
      <c r="E34" s="31">
        <v>2.5999999999999999E-2</v>
      </c>
      <c r="F34" s="22">
        <v>2.9000000000000001E-2</v>
      </c>
      <c r="G34" s="30">
        <v>3.5999999999999997E-2</v>
      </c>
      <c r="H34" s="22">
        <v>2.8000000000000001E-2</v>
      </c>
      <c r="I34" s="32">
        <v>3.4000000000000002E-2</v>
      </c>
      <c r="J34" s="37">
        <v>3.7999999999999999E-2</v>
      </c>
      <c r="K34" s="32">
        <v>3.3000000000000002E-2</v>
      </c>
      <c r="L34" s="22">
        <v>2.8000000000000001E-2</v>
      </c>
      <c r="M34" s="37">
        <v>3.6999999999999998E-2</v>
      </c>
      <c r="N34" s="39">
        <v>3.1E-2</v>
      </c>
      <c r="O34" s="18" t="s">
        <v>83</v>
      </c>
    </row>
    <row r="35" spans="2:15" x14ac:dyDescent="0.2">
      <c r="B35" s="127"/>
      <c r="C35" s="19">
        <v>4.2999999999999997E-2</v>
      </c>
      <c r="D35" s="37">
        <v>1.48</v>
      </c>
      <c r="E35" s="22">
        <v>0.92200000000000004</v>
      </c>
      <c r="F35" s="19">
        <v>6.4000000000000001E-2</v>
      </c>
      <c r="G35" s="21">
        <v>0.16800000000000001</v>
      </c>
      <c r="H35" s="30">
        <v>1.3919999999999999</v>
      </c>
      <c r="I35" s="20">
        <v>0.29199999999999998</v>
      </c>
      <c r="J35" s="21">
        <v>0.15</v>
      </c>
      <c r="K35" s="20">
        <v>0.34399999999999997</v>
      </c>
      <c r="L35" s="30">
        <v>1.355</v>
      </c>
      <c r="M35" s="19">
        <v>0.129</v>
      </c>
      <c r="N35" s="19">
        <v>4.7E-2</v>
      </c>
      <c r="O35" s="18">
        <v>570</v>
      </c>
    </row>
    <row r="36" spans="2:15" x14ac:dyDescent="0.2">
      <c r="B36" s="128"/>
      <c r="C36" s="27">
        <v>1.548</v>
      </c>
      <c r="D36" s="27">
        <v>48.433</v>
      </c>
      <c r="E36" s="27">
        <v>36.082000000000001</v>
      </c>
      <c r="F36" s="27">
        <v>2.202</v>
      </c>
      <c r="G36" s="27">
        <v>4.6550000000000002</v>
      </c>
      <c r="H36" s="27">
        <v>50.122999999999998</v>
      </c>
      <c r="I36" s="27">
        <v>8.4749999999999996</v>
      </c>
      <c r="J36" s="27">
        <v>3.9809999999999999</v>
      </c>
      <c r="K36" s="27">
        <v>10.311</v>
      </c>
      <c r="L36" s="27">
        <v>48.773000000000003</v>
      </c>
      <c r="M36" s="27">
        <v>3.4550000000000001</v>
      </c>
      <c r="N36" s="27">
        <v>1.532</v>
      </c>
      <c r="O36" s="18" t="s">
        <v>84</v>
      </c>
    </row>
    <row r="37" spans="2:15" x14ac:dyDescent="0.2">
      <c r="B37" s="126" t="s">
        <v>10</v>
      </c>
      <c r="C37" s="14">
        <v>0.05</v>
      </c>
      <c r="D37" s="15">
        <v>5.2999999999999999E-2</v>
      </c>
      <c r="E37" s="28">
        <v>5.2999999999999999E-2</v>
      </c>
      <c r="F37" s="15">
        <v>5.2999999999999999E-2</v>
      </c>
      <c r="G37" s="15">
        <v>5.1999999999999998E-2</v>
      </c>
      <c r="H37" s="29">
        <v>5.6000000000000001E-2</v>
      </c>
      <c r="I37" s="28">
        <v>5.5E-2</v>
      </c>
      <c r="J37" s="29">
        <v>5.7000000000000002E-2</v>
      </c>
      <c r="K37" s="14">
        <v>4.9000000000000002E-2</v>
      </c>
      <c r="L37" s="14">
        <v>4.9000000000000002E-2</v>
      </c>
      <c r="M37" s="15">
        <v>5.0999999999999997E-2</v>
      </c>
      <c r="N37" s="14">
        <v>0.05</v>
      </c>
      <c r="O37" s="18" t="s">
        <v>81</v>
      </c>
    </row>
    <row r="38" spans="2:15" x14ac:dyDescent="0.2">
      <c r="B38" s="127"/>
      <c r="C38" s="21">
        <v>4.3999999999999997E-2</v>
      </c>
      <c r="D38" s="20">
        <v>4.7E-2</v>
      </c>
      <c r="E38" s="20">
        <v>4.7E-2</v>
      </c>
      <c r="F38" s="20">
        <v>4.5999999999999999E-2</v>
      </c>
      <c r="G38" s="20">
        <v>4.5999999999999999E-2</v>
      </c>
      <c r="H38" s="26">
        <v>0.05</v>
      </c>
      <c r="I38" s="26">
        <v>4.9000000000000002E-2</v>
      </c>
      <c r="J38" s="25">
        <v>5.1999999999999998E-2</v>
      </c>
      <c r="K38" s="21">
        <v>4.3999999999999997E-2</v>
      </c>
      <c r="L38" s="19">
        <v>4.2999999999999997E-2</v>
      </c>
      <c r="M38" s="21">
        <v>4.4999999999999998E-2</v>
      </c>
      <c r="N38" s="21">
        <v>4.4999999999999998E-2</v>
      </c>
      <c r="O38" s="18" t="s">
        <v>82</v>
      </c>
    </row>
    <row r="39" spans="2:15" x14ac:dyDescent="0.2">
      <c r="B39" s="127"/>
      <c r="C39" s="32">
        <v>3.3000000000000002E-2</v>
      </c>
      <c r="D39" s="32">
        <v>3.3000000000000002E-2</v>
      </c>
      <c r="E39" s="32">
        <v>3.3000000000000002E-2</v>
      </c>
      <c r="F39" s="30">
        <v>3.5000000000000003E-2</v>
      </c>
      <c r="G39" s="36">
        <v>3.2000000000000001E-2</v>
      </c>
      <c r="H39" s="32">
        <v>3.3000000000000002E-2</v>
      </c>
      <c r="I39" s="32">
        <v>3.3000000000000002E-2</v>
      </c>
      <c r="J39" s="39">
        <v>0.03</v>
      </c>
      <c r="K39" s="31">
        <v>2.7E-2</v>
      </c>
      <c r="L39" s="32">
        <v>3.3000000000000002E-2</v>
      </c>
      <c r="M39" s="37">
        <v>3.6999999999999998E-2</v>
      </c>
      <c r="N39" s="39">
        <v>0.03</v>
      </c>
      <c r="O39" s="18" t="s">
        <v>83</v>
      </c>
    </row>
    <row r="40" spans="2:15" x14ac:dyDescent="0.2">
      <c r="B40" s="127"/>
      <c r="C40" s="19">
        <v>4.2999999999999997E-2</v>
      </c>
      <c r="D40" s="19">
        <v>0.129</v>
      </c>
      <c r="E40" s="22">
        <v>0.94199999999999995</v>
      </c>
      <c r="F40" s="26">
        <v>0.432</v>
      </c>
      <c r="G40" s="25">
        <v>0.49</v>
      </c>
      <c r="H40" s="19">
        <v>0.08</v>
      </c>
      <c r="I40" s="19">
        <v>6.6000000000000003E-2</v>
      </c>
      <c r="J40" s="20">
        <v>0.30299999999999999</v>
      </c>
      <c r="K40" s="19">
        <v>0.14399999999999999</v>
      </c>
      <c r="L40" s="19">
        <v>7.0000000000000007E-2</v>
      </c>
      <c r="M40" s="26">
        <v>0.42</v>
      </c>
      <c r="N40" s="19">
        <v>4.3999999999999997E-2</v>
      </c>
      <c r="O40" s="18">
        <v>570</v>
      </c>
    </row>
    <row r="41" spans="2:15" x14ac:dyDescent="0.2">
      <c r="B41" s="128"/>
      <c r="C41" s="27">
        <v>1.2809999999999999</v>
      </c>
      <c r="D41" s="27">
        <v>3.9390000000000001</v>
      </c>
      <c r="E41" s="27">
        <v>28.736000000000001</v>
      </c>
      <c r="F41" s="27">
        <v>12.349</v>
      </c>
      <c r="G41" s="27">
        <v>15.471</v>
      </c>
      <c r="H41" s="27">
        <v>2.391</v>
      </c>
      <c r="I41" s="27">
        <v>1.9770000000000001</v>
      </c>
      <c r="J41" s="27">
        <v>10.087</v>
      </c>
      <c r="K41" s="27">
        <v>5.4080000000000004</v>
      </c>
      <c r="L41" s="27">
        <v>2.12</v>
      </c>
      <c r="M41" s="27">
        <v>11.292</v>
      </c>
      <c r="N41" s="27">
        <v>1.48</v>
      </c>
      <c r="O41" s="18" t="s">
        <v>84</v>
      </c>
    </row>
    <row r="42" spans="2:15" x14ac:dyDescent="0.2">
      <c r="B42" s="126" t="s">
        <v>19</v>
      </c>
      <c r="C42" s="28">
        <v>5.6000000000000001E-2</v>
      </c>
      <c r="D42" s="38">
        <v>0.08</v>
      </c>
      <c r="E42" s="29">
        <v>5.7000000000000002E-2</v>
      </c>
      <c r="F42" s="33">
        <v>5.8999999999999997E-2</v>
      </c>
      <c r="G42" s="119">
        <v>6.8000000000000005E-2</v>
      </c>
      <c r="H42" s="120">
        <v>7.6999999999999999E-2</v>
      </c>
      <c r="I42" s="28">
        <v>5.3999999999999999E-2</v>
      </c>
      <c r="J42" s="28">
        <v>5.3999999999999999E-2</v>
      </c>
      <c r="K42" s="119">
        <v>6.6000000000000003E-2</v>
      </c>
      <c r="L42" s="33">
        <v>5.8999999999999997E-2</v>
      </c>
      <c r="M42" s="15">
        <v>5.0999999999999997E-2</v>
      </c>
      <c r="N42" s="16">
        <v>4.8000000000000001E-2</v>
      </c>
      <c r="O42" s="18" t="s">
        <v>81</v>
      </c>
    </row>
    <row r="43" spans="2:15" x14ac:dyDescent="0.2">
      <c r="B43" s="127"/>
      <c r="C43" s="26">
        <v>4.9000000000000002E-2</v>
      </c>
      <c r="D43" s="37">
        <v>7.4999999999999997E-2</v>
      </c>
      <c r="E43" s="25">
        <v>5.0999999999999997E-2</v>
      </c>
      <c r="F43" s="25">
        <v>5.2999999999999999E-2</v>
      </c>
      <c r="G43" s="22">
        <v>6.3E-2</v>
      </c>
      <c r="H43" s="37">
        <v>7.2999999999999995E-2</v>
      </c>
      <c r="I43" s="26">
        <v>4.9000000000000002E-2</v>
      </c>
      <c r="J43" s="20">
        <v>4.8000000000000001E-2</v>
      </c>
      <c r="K43" s="22">
        <v>6.0999999999999999E-2</v>
      </c>
      <c r="L43" s="23">
        <v>5.2999999999999999E-2</v>
      </c>
      <c r="M43" s="21">
        <v>4.3999999999999997E-2</v>
      </c>
      <c r="N43" s="19">
        <v>4.2000000000000003E-2</v>
      </c>
      <c r="O43" s="18" t="s">
        <v>82</v>
      </c>
    </row>
    <row r="44" spans="2:15" x14ac:dyDescent="0.2">
      <c r="B44" s="127"/>
      <c r="C44" s="32">
        <v>3.4000000000000002E-2</v>
      </c>
      <c r="D44" s="31">
        <v>2.7E-2</v>
      </c>
      <c r="E44" s="32">
        <v>3.4000000000000002E-2</v>
      </c>
      <c r="F44" s="32">
        <v>3.3000000000000002E-2</v>
      </c>
      <c r="G44" s="22">
        <v>2.8000000000000001E-2</v>
      </c>
      <c r="H44" s="26">
        <v>1.9E-2</v>
      </c>
      <c r="I44" s="22">
        <v>2.8000000000000001E-2</v>
      </c>
      <c r="J44" s="30">
        <v>3.5000000000000003E-2</v>
      </c>
      <c r="K44" s="31">
        <v>2.5999999999999999E-2</v>
      </c>
      <c r="L44" s="36">
        <v>3.2000000000000001E-2</v>
      </c>
      <c r="M44" s="37">
        <v>3.6999999999999998E-2</v>
      </c>
      <c r="N44" s="32">
        <v>3.3000000000000002E-2</v>
      </c>
      <c r="O44" s="18" t="s">
        <v>83</v>
      </c>
    </row>
    <row r="45" spans="2:15" x14ac:dyDescent="0.2">
      <c r="B45" s="127"/>
      <c r="C45" s="19">
        <v>4.8000000000000001E-2</v>
      </c>
      <c r="D45" s="37">
        <v>1.4630000000000001</v>
      </c>
      <c r="E45" s="39">
        <v>1.0680000000000001</v>
      </c>
      <c r="F45" s="31">
        <v>0.876</v>
      </c>
      <c r="G45" s="25">
        <v>0.47499999999999998</v>
      </c>
      <c r="H45" s="37">
        <v>1.5069999999999999</v>
      </c>
      <c r="I45" s="25">
        <v>0.48699999999999999</v>
      </c>
      <c r="J45" s="20">
        <v>0.34599999999999997</v>
      </c>
      <c r="K45" s="23">
        <v>0.63500000000000001</v>
      </c>
      <c r="L45" s="32">
        <v>1.25</v>
      </c>
      <c r="M45" s="26">
        <v>0.377</v>
      </c>
      <c r="N45" s="19">
        <v>4.1000000000000002E-2</v>
      </c>
      <c r="O45" s="18">
        <v>570</v>
      </c>
    </row>
    <row r="46" spans="2:15" x14ac:dyDescent="0.2">
      <c r="B46" s="128"/>
      <c r="C46" s="27">
        <v>1.399</v>
      </c>
      <c r="D46" s="27">
        <v>54.854999999999997</v>
      </c>
      <c r="E46" s="27">
        <v>31.527000000000001</v>
      </c>
      <c r="F46" s="27">
        <v>26.713000000000001</v>
      </c>
      <c r="G46" s="27">
        <v>17.100000000000001</v>
      </c>
      <c r="H46" s="27">
        <v>79.781999999999996</v>
      </c>
      <c r="I46" s="27">
        <v>17.195</v>
      </c>
      <c r="J46" s="27">
        <v>9.8970000000000002</v>
      </c>
      <c r="K46" s="27">
        <v>24.338000000000001</v>
      </c>
      <c r="L46" s="27">
        <v>39.460999999999999</v>
      </c>
      <c r="M46" s="27">
        <v>10.287000000000001</v>
      </c>
      <c r="N46" s="27">
        <v>1.248</v>
      </c>
      <c r="O46" s="18" t="s">
        <v>84</v>
      </c>
    </row>
    <row r="47" spans="2:15" x14ac:dyDescent="0.2">
      <c r="B47" s="126" t="s">
        <v>27</v>
      </c>
      <c r="C47" s="14">
        <v>0.05</v>
      </c>
      <c r="D47" s="14">
        <v>0.05</v>
      </c>
      <c r="E47" s="29">
        <v>5.8000000000000003E-2</v>
      </c>
      <c r="F47" s="29">
        <v>5.6000000000000001E-2</v>
      </c>
      <c r="G47" s="118">
        <v>6.4000000000000001E-2</v>
      </c>
      <c r="H47" s="14">
        <v>0.05</v>
      </c>
      <c r="I47" s="29">
        <v>5.6000000000000001E-2</v>
      </c>
      <c r="J47" s="15">
        <v>5.0999999999999997E-2</v>
      </c>
      <c r="K47" s="35">
        <v>7.0999999999999994E-2</v>
      </c>
      <c r="L47" s="15">
        <v>5.0999999999999997E-2</v>
      </c>
      <c r="M47" s="15">
        <v>5.0999999999999997E-2</v>
      </c>
      <c r="N47" s="15">
        <v>5.2999999999999999E-2</v>
      </c>
      <c r="O47" s="18" t="s">
        <v>81</v>
      </c>
    </row>
    <row r="48" spans="2:15" x14ac:dyDescent="0.2">
      <c r="B48" s="127"/>
      <c r="C48" s="21">
        <v>4.3999999999999997E-2</v>
      </c>
      <c r="D48" s="21">
        <v>4.3999999999999997E-2</v>
      </c>
      <c r="E48" s="25">
        <v>5.0999999999999997E-2</v>
      </c>
      <c r="F48" s="26">
        <v>0.05</v>
      </c>
      <c r="G48" s="31">
        <v>5.8000000000000003E-2</v>
      </c>
      <c r="H48" s="21">
        <v>4.4999999999999998E-2</v>
      </c>
      <c r="I48" s="26">
        <v>0.05</v>
      </c>
      <c r="J48" s="21">
        <v>4.4999999999999998E-2</v>
      </c>
      <c r="K48" s="36">
        <v>6.6000000000000003E-2</v>
      </c>
      <c r="L48" s="21">
        <v>4.4999999999999998E-2</v>
      </c>
      <c r="M48" s="21">
        <v>4.3999999999999997E-2</v>
      </c>
      <c r="N48" s="20">
        <v>4.7E-2</v>
      </c>
      <c r="O48" s="18" t="s">
        <v>82</v>
      </c>
    </row>
    <row r="49" spans="2:15" x14ac:dyDescent="0.2">
      <c r="B49" s="127"/>
      <c r="C49" s="22">
        <v>2.9000000000000001E-2</v>
      </c>
      <c r="D49" s="30">
        <v>3.5999999999999997E-2</v>
      </c>
      <c r="E49" s="30">
        <v>3.5000000000000003E-2</v>
      </c>
      <c r="F49" s="36">
        <v>3.2000000000000001E-2</v>
      </c>
      <c r="G49" s="36">
        <v>3.2000000000000001E-2</v>
      </c>
      <c r="H49" s="36">
        <v>3.1E-2</v>
      </c>
      <c r="I49" s="30">
        <v>3.5999999999999997E-2</v>
      </c>
      <c r="J49" s="32">
        <v>3.4000000000000002E-2</v>
      </c>
      <c r="K49" s="24">
        <v>2.5000000000000001E-2</v>
      </c>
      <c r="L49" s="30">
        <v>3.5000000000000003E-2</v>
      </c>
      <c r="M49" s="30">
        <v>3.5999999999999997E-2</v>
      </c>
      <c r="N49" s="32">
        <v>3.4000000000000002E-2</v>
      </c>
      <c r="O49" s="18" t="s">
        <v>83</v>
      </c>
    </row>
    <row r="50" spans="2:15" x14ac:dyDescent="0.2">
      <c r="B50" s="127"/>
      <c r="C50" s="19">
        <v>4.4999999999999998E-2</v>
      </c>
      <c r="D50" s="19">
        <v>0.06</v>
      </c>
      <c r="E50" s="23">
        <v>0.59599999999999997</v>
      </c>
      <c r="F50" s="23">
        <v>0.58199999999999996</v>
      </c>
      <c r="G50" s="25">
        <v>0.48399999999999999</v>
      </c>
      <c r="H50" s="19">
        <v>7.8E-2</v>
      </c>
      <c r="I50" s="31">
        <v>0.77600000000000002</v>
      </c>
      <c r="J50" s="21">
        <v>0.24099999999999999</v>
      </c>
      <c r="K50" s="25">
        <v>0.51300000000000001</v>
      </c>
      <c r="L50" s="19">
        <v>8.4000000000000005E-2</v>
      </c>
      <c r="M50" s="21">
        <v>0.19700000000000001</v>
      </c>
      <c r="N50" s="19">
        <v>4.4999999999999998E-2</v>
      </c>
      <c r="O50" s="18">
        <v>570</v>
      </c>
    </row>
    <row r="51" spans="2:15" x14ac:dyDescent="0.2">
      <c r="B51" s="128"/>
      <c r="C51" s="27">
        <v>1.5649999999999999</v>
      </c>
      <c r="D51" s="27">
        <v>1.6819999999999999</v>
      </c>
      <c r="E51" s="27">
        <v>17.013999999999999</v>
      </c>
      <c r="F51" s="27">
        <v>18.065000000000001</v>
      </c>
      <c r="G51" s="27">
        <v>15.284000000000001</v>
      </c>
      <c r="H51" s="27">
        <v>2.4969999999999999</v>
      </c>
      <c r="I51" s="27">
        <v>21.5</v>
      </c>
      <c r="J51" s="27">
        <v>6.9939999999999998</v>
      </c>
      <c r="K51" s="27">
        <v>20.504000000000001</v>
      </c>
      <c r="L51" s="27">
        <v>2.4089999999999998</v>
      </c>
      <c r="M51" s="27">
        <v>5.5519999999999996</v>
      </c>
      <c r="N51" s="27">
        <v>1.337</v>
      </c>
      <c r="O51" s="18" t="s">
        <v>84</v>
      </c>
    </row>
    <row r="52" spans="2:15" x14ac:dyDescent="0.2">
      <c r="B52" s="126" t="s">
        <v>35</v>
      </c>
      <c r="C52" s="16">
        <v>4.7E-2</v>
      </c>
      <c r="D52" s="29">
        <v>5.6000000000000001E-2</v>
      </c>
      <c r="E52" s="14">
        <v>4.9000000000000002E-2</v>
      </c>
      <c r="F52" s="118">
        <v>6.3E-2</v>
      </c>
      <c r="G52" s="14">
        <v>5.0999999999999997E-2</v>
      </c>
      <c r="H52" s="29">
        <v>5.8000000000000003E-2</v>
      </c>
      <c r="I52" s="28">
        <v>5.2999999999999999E-2</v>
      </c>
      <c r="J52" s="14">
        <v>5.0999999999999997E-2</v>
      </c>
      <c r="K52" s="28">
        <v>5.3999999999999999E-2</v>
      </c>
      <c r="L52" s="28">
        <v>5.3999999999999999E-2</v>
      </c>
      <c r="M52" s="28">
        <v>5.5E-2</v>
      </c>
      <c r="N52" s="14">
        <v>0.05</v>
      </c>
      <c r="O52" s="18" t="s">
        <v>81</v>
      </c>
    </row>
    <row r="53" spans="2:15" x14ac:dyDescent="0.2">
      <c r="B53" s="127"/>
      <c r="C53" s="19">
        <v>4.2000000000000003E-2</v>
      </c>
      <c r="D53" s="26">
        <v>4.9000000000000002E-2</v>
      </c>
      <c r="E53" s="21">
        <v>4.2999999999999997E-2</v>
      </c>
      <c r="F53" s="22">
        <v>6.0999999999999999E-2</v>
      </c>
      <c r="G53" s="21">
        <v>4.4999999999999998E-2</v>
      </c>
      <c r="H53" s="25">
        <v>5.1999999999999998E-2</v>
      </c>
      <c r="I53" s="20">
        <v>4.7E-2</v>
      </c>
      <c r="J53" s="21">
        <v>4.3999999999999997E-2</v>
      </c>
      <c r="K53" s="20">
        <v>4.8000000000000001E-2</v>
      </c>
      <c r="L53" s="20">
        <v>4.8000000000000001E-2</v>
      </c>
      <c r="M53" s="26">
        <v>4.9000000000000002E-2</v>
      </c>
      <c r="N53" s="21">
        <v>4.3999999999999997E-2</v>
      </c>
      <c r="O53" s="18" t="s">
        <v>82</v>
      </c>
    </row>
    <row r="54" spans="2:15" x14ac:dyDescent="0.2">
      <c r="B54" s="127"/>
      <c r="C54" s="39">
        <v>2.9000000000000001E-2</v>
      </c>
      <c r="D54" s="30">
        <v>3.5999999999999997E-2</v>
      </c>
      <c r="E54" s="36">
        <v>3.1E-2</v>
      </c>
      <c r="F54" s="19">
        <v>1.2E-2</v>
      </c>
      <c r="G54" s="36">
        <v>3.2000000000000001E-2</v>
      </c>
      <c r="H54" s="30">
        <v>3.5000000000000003E-2</v>
      </c>
      <c r="I54" s="32">
        <v>3.4000000000000002E-2</v>
      </c>
      <c r="J54" s="32">
        <v>3.3000000000000002E-2</v>
      </c>
      <c r="K54" s="32">
        <v>3.3000000000000002E-2</v>
      </c>
      <c r="L54" s="37">
        <v>3.6999999999999998E-2</v>
      </c>
      <c r="M54" s="37">
        <v>3.6999999999999998E-2</v>
      </c>
      <c r="N54" s="32">
        <v>3.3000000000000002E-2</v>
      </c>
      <c r="O54" s="18" t="s">
        <v>83</v>
      </c>
    </row>
    <row r="55" spans="2:15" x14ac:dyDescent="0.2">
      <c r="B55" s="127"/>
      <c r="C55" s="19">
        <v>4.2000000000000003E-2</v>
      </c>
      <c r="D55" s="30">
        <v>1.383</v>
      </c>
      <c r="E55" s="19">
        <v>6.4000000000000001E-2</v>
      </c>
      <c r="F55" s="23">
        <v>0.57799999999999996</v>
      </c>
      <c r="G55" s="21">
        <v>0.16900000000000001</v>
      </c>
      <c r="H55" s="37">
        <v>1.4590000000000001</v>
      </c>
      <c r="I55" s="25">
        <v>0.49399999999999999</v>
      </c>
      <c r="J55" s="19">
        <v>4.3999999999999997E-2</v>
      </c>
      <c r="K55" s="31">
        <v>0.78800000000000003</v>
      </c>
      <c r="L55" s="32">
        <v>1.204</v>
      </c>
      <c r="M55" s="22">
        <v>0.93799999999999994</v>
      </c>
      <c r="N55" s="19">
        <v>4.2999999999999997E-2</v>
      </c>
      <c r="O55" s="18">
        <v>570</v>
      </c>
    </row>
    <row r="56" spans="2:15" x14ac:dyDescent="0.2">
      <c r="B56" s="128"/>
      <c r="C56" s="27">
        <v>1.43</v>
      </c>
      <c r="D56" s="27">
        <v>38.286999999999999</v>
      </c>
      <c r="E56" s="27">
        <v>2.0569999999999999</v>
      </c>
      <c r="F56" s="27">
        <v>47.323999999999998</v>
      </c>
      <c r="G56" s="27">
        <v>5.2480000000000002</v>
      </c>
      <c r="H56" s="27">
        <v>41.697000000000003</v>
      </c>
      <c r="I56" s="27">
        <v>14.333</v>
      </c>
      <c r="J56" s="27">
        <v>1.3109999999999999</v>
      </c>
      <c r="K56" s="27">
        <v>23.631</v>
      </c>
      <c r="L56" s="27">
        <v>32.345999999999997</v>
      </c>
      <c r="M56" s="27">
        <v>25.202999999999999</v>
      </c>
      <c r="N56" s="27">
        <v>1.2749999999999999</v>
      </c>
      <c r="O56" s="18" t="s">
        <v>84</v>
      </c>
    </row>
    <row r="57" spans="2:15" x14ac:dyDescent="0.2">
      <c r="B57" s="126" t="s">
        <v>43</v>
      </c>
      <c r="C57" s="14">
        <v>0.05</v>
      </c>
      <c r="D57" s="16">
        <v>4.8000000000000001E-2</v>
      </c>
      <c r="E57" s="14">
        <v>4.9000000000000002E-2</v>
      </c>
      <c r="F57" s="17">
        <v>7.0000000000000007E-2</v>
      </c>
      <c r="G57" s="15">
        <v>5.0999999999999997E-2</v>
      </c>
      <c r="H57" s="15">
        <v>5.0999999999999997E-2</v>
      </c>
      <c r="I57" s="15">
        <v>5.2999999999999999E-2</v>
      </c>
      <c r="J57" s="14">
        <v>4.9000000000000002E-2</v>
      </c>
      <c r="K57" s="29">
        <v>5.6000000000000001E-2</v>
      </c>
      <c r="L57" s="14">
        <v>0.05</v>
      </c>
      <c r="M57" s="28">
        <v>5.5E-2</v>
      </c>
      <c r="N57" s="16">
        <v>4.8000000000000001E-2</v>
      </c>
      <c r="O57" s="18" t="s">
        <v>81</v>
      </c>
    </row>
    <row r="58" spans="2:15" x14ac:dyDescent="0.2">
      <c r="B58" s="127"/>
      <c r="C58" s="21">
        <v>4.4999999999999998E-2</v>
      </c>
      <c r="D58" s="19">
        <v>4.2000000000000003E-2</v>
      </c>
      <c r="E58" s="21">
        <v>4.3999999999999997E-2</v>
      </c>
      <c r="F58" s="36">
        <v>6.5000000000000002E-2</v>
      </c>
      <c r="G58" s="21">
        <v>4.4999999999999998E-2</v>
      </c>
      <c r="H58" s="21">
        <v>4.4999999999999998E-2</v>
      </c>
      <c r="I58" s="20">
        <v>4.7E-2</v>
      </c>
      <c r="J58" s="19">
        <v>4.2999999999999997E-2</v>
      </c>
      <c r="K58" s="25">
        <v>5.0999999999999997E-2</v>
      </c>
      <c r="L58" s="21">
        <v>4.2999999999999997E-2</v>
      </c>
      <c r="M58" s="26">
        <v>4.8000000000000001E-2</v>
      </c>
      <c r="N58" s="19">
        <v>4.2000000000000003E-2</v>
      </c>
      <c r="O58" s="18" t="s">
        <v>82</v>
      </c>
    </row>
    <row r="59" spans="2:15" x14ac:dyDescent="0.2">
      <c r="B59" s="127"/>
      <c r="C59" s="36">
        <v>3.1E-2</v>
      </c>
      <c r="D59" s="32">
        <v>3.4000000000000002E-2</v>
      </c>
      <c r="E59" s="22">
        <v>2.8000000000000001E-2</v>
      </c>
      <c r="F59" s="23">
        <v>2.3E-2</v>
      </c>
      <c r="G59" s="37">
        <v>3.7999999999999999E-2</v>
      </c>
      <c r="H59" s="37">
        <v>3.6999999999999998E-2</v>
      </c>
      <c r="I59" s="32">
        <v>3.3000000000000002E-2</v>
      </c>
      <c r="J59" s="30">
        <v>3.5000000000000003E-2</v>
      </c>
      <c r="K59" s="24">
        <v>2.4E-2</v>
      </c>
      <c r="L59" s="30">
        <v>3.5000000000000003E-2</v>
      </c>
      <c r="M59" s="37">
        <v>3.7999999999999999E-2</v>
      </c>
      <c r="N59" s="36">
        <v>3.2000000000000001E-2</v>
      </c>
      <c r="O59" s="18" t="s">
        <v>83</v>
      </c>
    </row>
    <row r="60" spans="2:15" x14ac:dyDescent="0.2">
      <c r="B60" s="127"/>
      <c r="C60" s="19">
        <v>4.2999999999999997E-2</v>
      </c>
      <c r="D60" s="19">
        <v>0.06</v>
      </c>
      <c r="E60" s="20">
        <v>0.28100000000000003</v>
      </c>
      <c r="F60" s="23">
        <v>0.57399999999999995</v>
      </c>
      <c r="G60" s="19">
        <v>0.14099999999999999</v>
      </c>
      <c r="H60" s="19">
        <v>6.7000000000000004E-2</v>
      </c>
      <c r="I60" s="25">
        <v>0.46899999999999997</v>
      </c>
      <c r="J60" s="21">
        <v>0.221</v>
      </c>
      <c r="K60" s="26">
        <v>0.439</v>
      </c>
      <c r="L60" s="19">
        <v>7.0000000000000007E-2</v>
      </c>
      <c r="M60" s="31">
        <v>0.78400000000000003</v>
      </c>
      <c r="N60" s="19">
        <v>4.1000000000000002E-2</v>
      </c>
      <c r="O60" s="18">
        <v>570</v>
      </c>
    </row>
    <row r="61" spans="2:15" x14ac:dyDescent="0.2">
      <c r="B61" s="128"/>
      <c r="C61" s="27">
        <v>1.369</v>
      </c>
      <c r="D61" s="27">
        <v>1.768</v>
      </c>
      <c r="E61" s="27">
        <v>9.9139999999999997</v>
      </c>
      <c r="F61" s="27">
        <v>25.190999999999999</v>
      </c>
      <c r="G61" s="27">
        <v>3.7189999999999999</v>
      </c>
      <c r="H61" s="27">
        <v>1.8140000000000001</v>
      </c>
      <c r="I61" s="27">
        <v>14.295999999999999</v>
      </c>
      <c r="J61" s="27">
        <v>6.3109999999999999</v>
      </c>
      <c r="K61" s="27">
        <v>18.36</v>
      </c>
      <c r="L61" s="27">
        <v>2.0089999999999999</v>
      </c>
      <c r="M61" s="27">
        <v>20.457000000000001</v>
      </c>
      <c r="N61" s="27">
        <v>1.2789999999999999</v>
      </c>
      <c r="O61" s="18" t="s">
        <v>84</v>
      </c>
    </row>
    <row r="62" spans="2:15" x14ac:dyDescent="0.2">
      <c r="B62" s="126" t="s">
        <v>51</v>
      </c>
      <c r="C62" s="16">
        <v>4.5999999999999999E-2</v>
      </c>
      <c r="D62" s="14">
        <v>4.9000000000000002E-2</v>
      </c>
      <c r="E62" s="16">
        <v>4.7E-2</v>
      </c>
      <c r="F62" s="14">
        <v>4.9000000000000002E-2</v>
      </c>
      <c r="G62" s="14">
        <v>0.05</v>
      </c>
      <c r="H62" s="14">
        <v>0.05</v>
      </c>
      <c r="I62" s="15">
        <v>5.1999999999999998E-2</v>
      </c>
      <c r="J62" s="15">
        <v>5.1999999999999998E-2</v>
      </c>
      <c r="K62" s="14">
        <v>5.0999999999999997E-2</v>
      </c>
      <c r="L62" s="16">
        <v>4.8000000000000001E-2</v>
      </c>
      <c r="M62" s="14">
        <v>0.05</v>
      </c>
      <c r="N62" s="14">
        <v>0.05</v>
      </c>
      <c r="O62" s="18" t="s">
        <v>81</v>
      </c>
    </row>
    <row r="63" spans="2:15" x14ac:dyDescent="0.2">
      <c r="B63" s="127"/>
      <c r="C63" s="19">
        <v>4.1000000000000002E-2</v>
      </c>
      <c r="D63" s="19">
        <v>4.2999999999999997E-2</v>
      </c>
      <c r="E63" s="19">
        <v>4.1000000000000002E-2</v>
      </c>
      <c r="F63" s="21">
        <v>4.3999999999999997E-2</v>
      </c>
      <c r="G63" s="21">
        <v>4.2999999999999997E-2</v>
      </c>
      <c r="H63" s="21">
        <v>4.3999999999999997E-2</v>
      </c>
      <c r="I63" s="20">
        <v>4.5999999999999999E-2</v>
      </c>
      <c r="J63" s="20">
        <v>4.7E-2</v>
      </c>
      <c r="K63" s="21">
        <v>4.3999999999999997E-2</v>
      </c>
      <c r="L63" s="19">
        <v>4.2999999999999997E-2</v>
      </c>
      <c r="M63" s="21">
        <v>4.2999999999999997E-2</v>
      </c>
      <c r="N63" s="21">
        <v>4.3999999999999997E-2</v>
      </c>
      <c r="O63" s="18" t="s">
        <v>82</v>
      </c>
    </row>
    <row r="64" spans="2:15" x14ac:dyDescent="0.2">
      <c r="B64" s="127"/>
      <c r="C64" s="22">
        <v>2.9000000000000001E-2</v>
      </c>
      <c r="D64" s="36">
        <v>3.1E-2</v>
      </c>
      <c r="E64" s="30">
        <v>3.5999999999999997E-2</v>
      </c>
      <c r="F64" s="36">
        <v>3.2000000000000001E-2</v>
      </c>
      <c r="G64" s="32">
        <v>3.4000000000000002E-2</v>
      </c>
      <c r="H64" s="30">
        <v>3.5999999999999997E-2</v>
      </c>
      <c r="I64" s="32">
        <v>3.4000000000000002E-2</v>
      </c>
      <c r="J64" s="36">
        <v>3.1E-2</v>
      </c>
      <c r="K64" s="30">
        <v>3.5999999999999997E-2</v>
      </c>
      <c r="L64" s="36">
        <v>3.1E-2</v>
      </c>
      <c r="M64" s="37">
        <v>3.7999999999999999E-2</v>
      </c>
      <c r="N64" s="32">
        <v>3.3000000000000002E-2</v>
      </c>
      <c r="O64" s="18" t="s">
        <v>83</v>
      </c>
    </row>
    <row r="65" spans="1:15" x14ac:dyDescent="0.2">
      <c r="B65" s="127"/>
      <c r="C65" s="19">
        <v>4.1000000000000002E-2</v>
      </c>
      <c r="D65" s="19">
        <v>0.04</v>
      </c>
      <c r="E65" s="19">
        <v>4.1000000000000002E-2</v>
      </c>
      <c r="F65" s="19">
        <v>4.2000000000000003E-2</v>
      </c>
      <c r="G65" s="19">
        <v>4.2000000000000003E-2</v>
      </c>
      <c r="H65" s="19">
        <v>4.2000000000000003E-2</v>
      </c>
      <c r="I65" s="19">
        <v>4.3999999999999997E-2</v>
      </c>
      <c r="J65" s="19">
        <v>4.4999999999999998E-2</v>
      </c>
      <c r="K65" s="19">
        <v>4.2000000000000003E-2</v>
      </c>
      <c r="L65" s="19">
        <v>4.1000000000000002E-2</v>
      </c>
      <c r="M65" s="19">
        <v>4.1000000000000002E-2</v>
      </c>
      <c r="N65" s="19">
        <v>4.1000000000000002E-2</v>
      </c>
      <c r="O65" s="18">
        <v>570</v>
      </c>
    </row>
    <row r="66" spans="1:15" x14ac:dyDescent="0.2">
      <c r="B66" s="128"/>
      <c r="C66" s="27">
        <v>1.43</v>
      </c>
      <c r="D66" s="27">
        <v>1.2989999999999999</v>
      </c>
      <c r="E66" s="27">
        <v>1.139</v>
      </c>
      <c r="F66" s="27">
        <v>1.3109999999999999</v>
      </c>
      <c r="G66" s="27">
        <v>1.2509999999999999</v>
      </c>
      <c r="H66" s="27">
        <v>1.1870000000000001</v>
      </c>
      <c r="I66" s="27">
        <v>1.28</v>
      </c>
      <c r="J66" s="27">
        <v>1.4590000000000001</v>
      </c>
      <c r="K66" s="27">
        <v>1.1839999999999999</v>
      </c>
      <c r="L66" s="27">
        <v>1.3149999999999999</v>
      </c>
      <c r="M66" s="27">
        <v>1.0669999999999999</v>
      </c>
      <c r="N66" s="27">
        <v>1.254</v>
      </c>
      <c r="O66" s="18" t="s">
        <v>84</v>
      </c>
    </row>
    <row r="69" spans="1:15" x14ac:dyDescent="0.2">
      <c r="A69" t="s">
        <v>53</v>
      </c>
      <c r="B69" t="s">
        <v>54</v>
      </c>
      <c r="D69" s="7" t="s">
        <v>137</v>
      </c>
      <c r="E69" s="40">
        <v>45364</v>
      </c>
      <c r="F69" s="7" t="s">
        <v>112</v>
      </c>
    </row>
    <row r="71" spans="1:15" x14ac:dyDescent="0.2">
      <c r="A71" t="s">
        <v>55</v>
      </c>
    </row>
    <row r="72" spans="1:15" x14ac:dyDescent="0.2">
      <c r="A72" t="s">
        <v>56</v>
      </c>
      <c r="B72" t="s">
        <v>57</v>
      </c>
    </row>
    <row r="73" spans="1:15" x14ac:dyDescent="0.2">
      <c r="A73" t="s">
        <v>58</v>
      </c>
      <c r="B73" t="s">
        <v>112</v>
      </c>
    </row>
    <row r="74" spans="1:15" x14ac:dyDescent="0.2">
      <c r="A74" t="s">
        <v>60</v>
      </c>
      <c r="B74" s="8">
        <v>45364</v>
      </c>
    </row>
    <row r="75" spans="1:15" x14ac:dyDescent="0.2">
      <c r="A75" t="s">
        <v>61</v>
      </c>
      <c r="B75" s="9">
        <v>0.65020833333333339</v>
      </c>
    </row>
    <row r="76" spans="1:15" x14ac:dyDescent="0.2">
      <c r="A76" t="s">
        <v>62</v>
      </c>
      <c r="B76" t="s">
        <v>63</v>
      </c>
    </row>
    <row r="77" spans="1:15" x14ac:dyDescent="0.2">
      <c r="A77" t="s">
        <v>64</v>
      </c>
      <c r="B77" t="s">
        <v>65</v>
      </c>
    </row>
    <row r="78" spans="1:15" x14ac:dyDescent="0.2">
      <c r="A78" t="s">
        <v>66</v>
      </c>
      <c r="B78" t="s">
        <v>67</v>
      </c>
    </row>
    <row r="80" spans="1:15" x14ac:dyDescent="0.2">
      <c r="A80" s="10" t="s">
        <v>68</v>
      </c>
      <c r="B80" s="11"/>
    </row>
    <row r="81" spans="1:15" x14ac:dyDescent="0.2">
      <c r="A81" t="s">
        <v>69</v>
      </c>
      <c r="B81" t="s">
        <v>70</v>
      </c>
    </row>
    <row r="82" spans="1:15" x14ac:dyDescent="0.2">
      <c r="A82" t="s">
        <v>71</v>
      </c>
    </row>
    <row r="83" spans="1:15" x14ac:dyDescent="0.2">
      <c r="A83" t="s">
        <v>72</v>
      </c>
      <c r="B83" t="s">
        <v>73</v>
      </c>
    </row>
    <row r="84" spans="1:15" x14ac:dyDescent="0.2">
      <c r="B84" t="s">
        <v>74</v>
      </c>
    </row>
    <row r="85" spans="1:15" x14ac:dyDescent="0.2">
      <c r="B85" t="s">
        <v>75</v>
      </c>
    </row>
    <row r="86" spans="1:15" x14ac:dyDescent="0.2">
      <c r="B86" t="s">
        <v>76</v>
      </c>
    </row>
    <row r="87" spans="1:15" x14ac:dyDescent="0.2">
      <c r="B87" t="s">
        <v>77</v>
      </c>
    </row>
    <row r="88" spans="1:15" x14ac:dyDescent="0.2">
      <c r="B88" t="s">
        <v>78</v>
      </c>
    </row>
    <row r="90" spans="1:15" x14ac:dyDescent="0.2">
      <c r="A90" s="10" t="s">
        <v>79</v>
      </c>
      <c r="B90" s="11"/>
    </row>
    <row r="91" spans="1:15" x14ac:dyDescent="0.2">
      <c r="A91" t="s">
        <v>80</v>
      </c>
      <c r="B91">
        <v>21.2</v>
      </c>
    </row>
    <row r="93" spans="1:15" x14ac:dyDescent="0.2">
      <c r="B93" s="12"/>
      <c r="C93" s="13">
        <v>1</v>
      </c>
      <c r="D93" s="13">
        <v>2</v>
      </c>
      <c r="E93" s="13">
        <v>3</v>
      </c>
      <c r="F93" s="13">
        <v>4</v>
      </c>
      <c r="G93" s="13">
        <v>5</v>
      </c>
      <c r="H93" s="13">
        <v>6</v>
      </c>
      <c r="I93" s="13">
        <v>7</v>
      </c>
      <c r="J93" s="13">
        <v>8</v>
      </c>
      <c r="K93" s="13">
        <v>9</v>
      </c>
      <c r="L93" s="13">
        <v>10</v>
      </c>
      <c r="M93" s="13">
        <v>11</v>
      </c>
      <c r="N93" s="13">
        <v>12</v>
      </c>
    </row>
    <row r="94" spans="1:15" x14ac:dyDescent="0.2">
      <c r="B94" s="126" t="s">
        <v>0</v>
      </c>
      <c r="C94" s="14">
        <v>4.8000000000000001E-2</v>
      </c>
      <c r="D94" s="33">
        <v>5.5E-2</v>
      </c>
      <c r="E94" s="14">
        <v>4.8000000000000001E-2</v>
      </c>
      <c r="F94" s="14">
        <v>4.8000000000000001E-2</v>
      </c>
      <c r="G94" s="16">
        <v>4.5999999999999999E-2</v>
      </c>
      <c r="H94" s="14">
        <v>4.8000000000000001E-2</v>
      </c>
      <c r="I94" s="14">
        <v>4.8000000000000001E-2</v>
      </c>
      <c r="J94" s="16">
        <v>4.7E-2</v>
      </c>
      <c r="K94" s="29">
        <v>5.2999999999999999E-2</v>
      </c>
      <c r="L94" s="16">
        <v>4.5999999999999999E-2</v>
      </c>
      <c r="M94" s="14">
        <v>4.9000000000000002E-2</v>
      </c>
      <c r="N94" s="16">
        <v>4.5999999999999999E-2</v>
      </c>
      <c r="O94" s="18" t="s">
        <v>81</v>
      </c>
    </row>
    <row r="95" spans="1:15" x14ac:dyDescent="0.2">
      <c r="B95" s="127"/>
      <c r="C95" s="21">
        <v>4.2999999999999997E-2</v>
      </c>
      <c r="D95" s="23">
        <v>0.05</v>
      </c>
      <c r="E95" s="21">
        <v>4.2999999999999997E-2</v>
      </c>
      <c r="F95" s="19">
        <v>4.1000000000000002E-2</v>
      </c>
      <c r="G95" s="19">
        <v>4.1000000000000002E-2</v>
      </c>
      <c r="H95" s="21">
        <v>4.2999999999999997E-2</v>
      </c>
      <c r="I95" s="19">
        <v>4.2000000000000003E-2</v>
      </c>
      <c r="J95" s="19">
        <v>4.2000000000000003E-2</v>
      </c>
      <c r="K95" s="25">
        <v>4.8000000000000001E-2</v>
      </c>
      <c r="L95" s="19">
        <v>4.1000000000000002E-2</v>
      </c>
      <c r="M95" s="21">
        <v>4.2999999999999997E-2</v>
      </c>
      <c r="N95" s="19">
        <v>4.1000000000000002E-2</v>
      </c>
      <c r="O95" s="18" t="s">
        <v>82</v>
      </c>
    </row>
    <row r="96" spans="1:15" x14ac:dyDescent="0.2">
      <c r="B96" s="127"/>
      <c r="C96" s="24">
        <v>2.9000000000000001E-2</v>
      </c>
      <c r="D96" s="25">
        <v>2.7E-2</v>
      </c>
      <c r="E96" s="25">
        <v>2.7E-2</v>
      </c>
      <c r="F96" s="36">
        <v>3.5000000000000003E-2</v>
      </c>
      <c r="G96" s="26">
        <v>2.5999999999999999E-2</v>
      </c>
      <c r="H96" s="24">
        <v>2.9000000000000001E-2</v>
      </c>
      <c r="I96" s="31">
        <v>3.1E-2</v>
      </c>
      <c r="J96" s="31">
        <v>3.1E-2</v>
      </c>
      <c r="K96" s="25">
        <v>2.7E-2</v>
      </c>
      <c r="L96" s="24">
        <v>2.9000000000000001E-2</v>
      </c>
      <c r="M96" s="31">
        <v>3.1E-2</v>
      </c>
      <c r="N96" s="23">
        <v>2.8000000000000001E-2</v>
      </c>
      <c r="O96" s="18" t="s">
        <v>83</v>
      </c>
    </row>
    <row r="97" spans="2:15" x14ac:dyDescent="0.2">
      <c r="B97" s="127"/>
      <c r="C97" s="19">
        <v>4.1000000000000002E-2</v>
      </c>
      <c r="D97" s="19">
        <v>4.9000000000000002E-2</v>
      </c>
      <c r="E97" s="19">
        <v>4.2999999999999997E-2</v>
      </c>
      <c r="F97" s="19">
        <v>4.2000000000000003E-2</v>
      </c>
      <c r="G97" s="19">
        <v>4.2000000000000003E-2</v>
      </c>
      <c r="H97" s="19">
        <v>4.1000000000000002E-2</v>
      </c>
      <c r="I97" s="19">
        <v>4.1000000000000002E-2</v>
      </c>
      <c r="J97" s="19">
        <v>4.1000000000000002E-2</v>
      </c>
      <c r="K97" s="19">
        <v>4.5999999999999999E-2</v>
      </c>
      <c r="L97" s="19">
        <v>4.1000000000000002E-2</v>
      </c>
      <c r="M97" s="19">
        <v>4.1000000000000002E-2</v>
      </c>
      <c r="N97" s="19">
        <v>4.1000000000000002E-2</v>
      </c>
      <c r="O97" s="18">
        <v>570</v>
      </c>
    </row>
    <row r="98" spans="2:15" x14ac:dyDescent="0.2">
      <c r="B98" s="128"/>
      <c r="C98" s="27">
        <v>1.423</v>
      </c>
      <c r="D98" s="27">
        <v>1.819</v>
      </c>
      <c r="E98" s="27">
        <v>1.5720000000000001</v>
      </c>
      <c r="F98" s="27">
        <v>1.1970000000000001</v>
      </c>
      <c r="G98" s="27">
        <v>1.593</v>
      </c>
      <c r="H98" s="27">
        <v>1.389</v>
      </c>
      <c r="I98" s="27">
        <v>1.3180000000000001</v>
      </c>
      <c r="J98" s="27">
        <v>1.345</v>
      </c>
      <c r="K98" s="27">
        <v>1.7010000000000001</v>
      </c>
      <c r="L98" s="27">
        <v>1.4159999999999999</v>
      </c>
      <c r="M98" s="27">
        <v>1.3420000000000001</v>
      </c>
      <c r="N98" s="27">
        <v>1.4510000000000001</v>
      </c>
      <c r="O98" s="18" t="s">
        <v>84</v>
      </c>
    </row>
    <row r="99" spans="2:15" x14ac:dyDescent="0.2">
      <c r="B99" s="126" t="s">
        <v>1</v>
      </c>
      <c r="C99" s="16">
        <v>4.7E-2</v>
      </c>
      <c r="D99" s="29">
        <v>5.1999999999999998E-2</v>
      </c>
      <c r="E99" s="15">
        <v>0.05</v>
      </c>
      <c r="F99" s="15">
        <v>4.9000000000000002E-2</v>
      </c>
      <c r="G99" s="15">
        <v>0.05</v>
      </c>
      <c r="H99" s="118">
        <v>5.8000000000000003E-2</v>
      </c>
      <c r="I99" s="34">
        <v>5.6000000000000001E-2</v>
      </c>
      <c r="J99" s="28">
        <v>5.0999999999999997E-2</v>
      </c>
      <c r="K99" s="29">
        <v>5.2999999999999999E-2</v>
      </c>
      <c r="L99" s="29">
        <v>5.1999999999999998E-2</v>
      </c>
      <c r="M99" s="33">
        <v>5.3999999999999999E-2</v>
      </c>
      <c r="N99" s="15">
        <v>0.05</v>
      </c>
      <c r="O99" s="18" t="s">
        <v>81</v>
      </c>
    </row>
    <row r="100" spans="2:15" x14ac:dyDescent="0.2">
      <c r="B100" s="127"/>
      <c r="C100" s="21">
        <v>4.2000000000000003E-2</v>
      </c>
      <c r="D100" s="26">
        <v>4.7E-2</v>
      </c>
      <c r="E100" s="20">
        <v>4.3999999999999997E-2</v>
      </c>
      <c r="F100" s="20">
        <v>4.3999999999999997E-2</v>
      </c>
      <c r="G100" s="20">
        <v>4.3999999999999997E-2</v>
      </c>
      <c r="H100" s="31">
        <v>5.2999999999999999E-2</v>
      </c>
      <c r="I100" s="23">
        <v>0.05</v>
      </c>
      <c r="J100" s="20">
        <v>4.4999999999999998E-2</v>
      </c>
      <c r="K100" s="25">
        <v>4.8000000000000001E-2</v>
      </c>
      <c r="L100" s="25">
        <v>4.7E-2</v>
      </c>
      <c r="M100" s="25">
        <v>4.8000000000000001E-2</v>
      </c>
      <c r="N100" s="20">
        <v>4.4999999999999998E-2</v>
      </c>
      <c r="O100" s="18" t="s">
        <v>82</v>
      </c>
    </row>
    <row r="101" spans="2:15" x14ac:dyDescent="0.2">
      <c r="B101" s="127"/>
      <c r="C101" s="26">
        <v>2.5000000000000001E-2</v>
      </c>
      <c r="D101" s="24">
        <v>0.03</v>
      </c>
      <c r="E101" s="22">
        <v>3.2000000000000001E-2</v>
      </c>
      <c r="F101" s="25">
        <v>2.7E-2</v>
      </c>
      <c r="G101" s="31">
        <v>0.03</v>
      </c>
      <c r="H101" s="25">
        <v>2.7E-2</v>
      </c>
      <c r="I101" s="39">
        <v>3.3000000000000002E-2</v>
      </c>
      <c r="J101" s="32">
        <v>3.5999999999999997E-2</v>
      </c>
      <c r="K101" s="39">
        <v>3.3000000000000002E-2</v>
      </c>
      <c r="L101" s="23">
        <v>2.8000000000000001E-2</v>
      </c>
      <c r="M101" s="22">
        <v>3.2000000000000001E-2</v>
      </c>
      <c r="N101" s="24">
        <v>2.9000000000000001E-2</v>
      </c>
      <c r="O101" s="18" t="s">
        <v>83</v>
      </c>
    </row>
    <row r="102" spans="2:15" x14ac:dyDescent="0.2">
      <c r="B102" s="127"/>
      <c r="C102" s="19">
        <v>4.2000000000000003E-2</v>
      </c>
      <c r="D102" s="32">
        <v>1.35</v>
      </c>
      <c r="E102" s="24">
        <v>0.83699999999999997</v>
      </c>
      <c r="F102" s="24">
        <v>0.80900000000000005</v>
      </c>
      <c r="G102" s="24">
        <v>0.81200000000000006</v>
      </c>
      <c r="H102" s="36">
        <v>1.2470000000000001</v>
      </c>
      <c r="I102" s="36">
        <v>1.2869999999999999</v>
      </c>
      <c r="J102" s="39">
        <v>1.1950000000000001</v>
      </c>
      <c r="K102" s="36">
        <v>1.2430000000000001</v>
      </c>
      <c r="L102" s="32">
        <v>1.35</v>
      </c>
      <c r="M102" s="36">
        <v>1.232</v>
      </c>
      <c r="N102" s="19">
        <v>4.2999999999999997E-2</v>
      </c>
      <c r="O102" s="18">
        <v>570</v>
      </c>
    </row>
    <row r="103" spans="2:15" x14ac:dyDescent="0.2">
      <c r="B103" s="128"/>
      <c r="C103" s="27">
        <v>1.6919999999999999</v>
      </c>
      <c r="D103" s="27">
        <v>44.993000000000002</v>
      </c>
      <c r="E103" s="27">
        <v>26.437999999999999</v>
      </c>
      <c r="F103" s="27">
        <v>29.725999999999999</v>
      </c>
      <c r="G103" s="27">
        <v>27.062999999999999</v>
      </c>
      <c r="H103" s="27">
        <v>45.816000000000003</v>
      </c>
      <c r="I103" s="27">
        <v>39.267000000000003</v>
      </c>
      <c r="J103" s="27">
        <v>33.606999999999999</v>
      </c>
      <c r="K103" s="27">
        <v>37.298999999999999</v>
      </c>
      <c r="L103" s="27">
        <v>47.636000000000003</v>
      </c>
      <c r="M103" s="27">
        <v>38.908000000000001</v>
      </c>
      <c r="N103" s="27">
        <v>1.4710000000000001</v>
      </c>
      <c r="O103" s="18" t="s">
        <v>84</v>
      </c>
    </row>
    <row r="104" spans="2:15" x14ac:dyDescent="0.2">
      <c r="B104" s="126" t="s">
        <v>10</v>
      </c>
      <c r="C104" s="14">
        <v>4.9000000000000002E-2</v>
      </c>
      <c r="D104" s="15">
        <v>4.9000000000000002E-2</v>
      </c>
      <c r="E104" s="28">
        <v>5.1999999999999998E-2</v>
      </c>
      <c r="F104" s="28">
        <v>5.0999999999999997E-2</v>
      </c>
      <c r="G104" s="28">
        <v>5.0999999999999997E-2</v>
      </c>
      <c r="H104" s="15">
        <v>4.9000000000000002E-2</v>
      </c>
      <c r="I104" s="34">
        <v>5.5E-2</v>
      </c>
      <c r="J104" s="28">
        <v>5.0999999999999997E-2</v>
      </c>
      <c r="K104" s="33">
        <v>5.3999999999999999E-2</v>
      </c>
      <c r="L104" s="14">
        <v>4.8000000000000001E-2</v>
      </c>
      <c r="M104" s="34">
        <v>5.6000000000000001E-2</v>
      </c>
      <c r="N104" s="15">
        <v>4.9000000000000002E-2</v>
      </c>
      <c r="O104" s="18" t="s">
        <v>81</v>
      </c>
    </row>
    <row r="105" spans="2:15" x14ac:dyDescent="0.2">
      <c r="B105" s="127"/>
      <c r="C105" s="21">
        <v>4.2999999999999997E-2</v>
      </c>
      <c r="D105" s="21">
        <v>4.3999999999999997E-2</v>
      </c>
      <c r="E105" s="20">
        <v>4.4999999999999998E-2</v>
      </c>
      <c r="F105" s="20">
        <v>4.4999999999999998E-2</v>
      </c>
      <c r="G105" s="26">
        <v>4.5999999999999999E-2</v>
      </c>
      <c r="H105" s="20">
        <v>4.3999999999999997E-2</v>
      </c>
      <c r="I105" s="23">
        <v>4.9000000000000002E-2</v>
      </c>
      <c r="J105" s="20">
        <v>4.4999999999999998E-2</v>
      </c>
      <c r="K105" s="25">
        <v>4.9000000000000002E-2</v>
      </c>
      <c r="L105" s="21">
        <v>4.2999999999999997E-2</v>
      </c>
      <c r="M105" s="23">
        <v>4.9000000000000002E-2</v>
      </c>
      <c r="N105" s="21">
        <v>4.3999999999999997E-2</v>
      </c>
      <c r="O105" s="18" t="s">
        <v>82</v>
      </c>
    </row>
    <row r="106" spans="2:15" x14ac:dyDescent="0.2">
      <c r="B106" s="127"/>
      <c r="C106" s="24">
        <v>2.9000000000000001E-2</v>
      </c>
      <c r="D106" s="24">
        <v>2.9000000000000001E-2</v>
      </c>
      <c r="E106" s="36">
        <v>3.5000000000000003E-2</v>
      </c>
      <c r="F106" s="22">
        <v>3.2000000000000001E-2</v>
      </c>
      <c r="G106" s="31">
        <v>0.03</v>
      </c>
      <c r="H106" s="25">
        <v>2.7E-2</v>
      </c>
      <c r="I106" s="36">
        <v>3.4000000000000002E-2</v>
      </c>
      <c r="J106" s="39">
        <v>3.3000000000000002E-2</v>
      </c>
      <c r="K106" s="25">
        <v>2.7E-2</v>
      </c>
      <c r="L106" s="31">
        <v>0.03</v>
      </c>
      <c r="M106" s="36">
        <v>3.5000000000000003E-2</v>
      </c>
      <c r="N106" s="24">
        <v>2.9000000000000001E-2</v>
      </c>
      <c r="O106" s="18" t="s">
        <v>83</v>
      </c>
    </row>
    <row r="107" spans="2:15" x14ac:dyDescent="0.2">
      <c r="B107" s="127"/>
      <c r="C107" s="19">
        <v>4.1000000000000002E-2</v>
      </c>
      <c r="D107" s="19">
        <v>0.10199999999999999</v>
      </c>
      <c r="E107" s="24">
        <v>0.81499999999999995</v>
      </c>
      <c r="F107" s="31">
        <v>0.875</v>
      </c>
      <c r="G107" s="24">
        <v>0.754</v>
      </c>
      <c r="H107" s="19">
        <v>0.127</v>
      </c>
      <c r="I107" s="36">
        <v>1.2809999999999999</v>
      </c>
      <c r="J107" s="36">
        <v>1.232</v>
      </c>
      <c r="K107" s="36">
        <v>1.282</v>
      </c>
      <c r="L107" s="19">
        <v>0.1</v>
      </c>
      <c r="M107" s="36">
        <v>1.296</v>
      </c>
      <c r="N107" s="19">
        <v>4.2000000000000003E-2</v>
      </c>
      <c r="O107" s="18">
        <v>570</v>
      </c>
    </row>
    <row r="108" spans="2:15" x14ac:dyDescent="0.2">
      <c r="B108" s="128"/>
      <c r="C108" s="27">
        <v>1.403</v>
      </c>
      <c r="D108" s="27">
        <v>3.4710000000000001</v>
      </c>
      <c r="E108" s="27">
        <v>23.294</v>
      </c>
      <c r="F108" s="27">
        <v>27.622</v>
      </c>
      <c r="G108" s="27">
        <v>25.123000000000001</v>
      </c>
      <c r="H108" s="27">
        <v>4.6539999999999999</v>
      </c>
      <c r="I108" s="27">
        <v>37.186999999999998</v>
      </c>
      <c r="J108" s="27">
        <v>36.954000000000001</v>
      </c>
      <c r="K108" s="27">
        <v>47.109000000000002</v>
      </c>
      <c r="L108" s="27">
        <v>3.327</v>
      </c>
      <c r="M108" s="27">
        <v>37.04</v>
      </c>
      <c r="N108" s="27">
        <v>1.468</v>
      </c>
      <c r="O108" s="18" t="s">
        <v>84</v>
      </c>
    </row>
    <row r="109" spans="2:15" x14ac:dyDescent="0.2">
      <c r="B109" s="126" t="s">
        <v>19</v>
      </c>
      <c r="C109" s="15">
        <v>4.9000000000000002E-2</v>
      </c>
      <c r="D109" s="34">
        <v>5.6000000000000001E-2</v>
      </c>
      <c r="E109" s="34">
        <v>5.5E-2</v>
      </c>
      <c r="F109" s="28">
        <v>5.0999999999999997E-2</v>
      </c>
      <c r="G109" s="119">
        <v>5.8999999999999997E-2</v>
      </c>
      <c r="H109" s="17">
        <v>6.0999999999999999E-2</v>
      </c>
      <c r="I109" s="33">
        <v>5.3999999999999999E-2</v>
      </c>
      <c r="J109" s="33">
        <v>5.5E-2</v>
      </c>
      <c r="K109" s="118">
        <v>5.7000000000000002E-2</v>
      </c>
      <c r="L109" s="34">
        <v>5.6000000000000001E-2</v>
      </c>
      <c r="M109" s="33">
        <v>5.5E-2</v>
      </c>
      <c r="N109" s="15">
        <v>0.05</v>
      </c>
      <c r="O109" s="18" t="s">
        <v>81</v>
      </c>
    </row>
    <row r="110" spans="2:15" x14ac:dyDescent="0.2">
      <c r="B110" s="127"/>
      <c r="C110" s="21">
        <v>4.3999999999999997E-2</v>
      </c>
      <c r="D110" s="24">
        <v>5.0999999999999997E-2</v>
      </c>
      <c r="E110" s="23">
        <v>4.9000000000000002E-2</v>
      </c>
      <c r="F110" s="20">
        <v>4.4999999999999998E-2</v>
      </c>
      <c r="G110" s="31">
        <v>5.1999999999999998E-2</v>
      </c>
      <c r="H110" s="39">
        <v>5.6000000000000001E-2</v>
      </c>
      <c r="I110" s="26">
        <v>4.7E-2</v>
      </c>
      <c r="J110" s="23">
        <v>4.9000000000000002E-2</v>
      </c>
      <c r="K110" s="24">
        <v>5.0999999999999997E-2</v>
      </c>
      <c r="L110" s="23">
        <v>0.05</v>
      </c>
      <c r="M110" s="25">
        <v>4.8000000000000001E-2</v>
      </c>
      <c r="N110" s="20">
        <v>4.4999999999999998E-2</v>
      </c>
      <c r="O110" s="18" t="s">
        <v>82</v>
      </c>
    </row>
    <row r="111" spans="2:15" x14ac:dyDescent="0.2">
      <c r="B111" s="127"/>
      <c r="C111" s="24">
        <v>0.03</v>
      </c>
      <c r="D111" s="24">
        <v>0.03</v>
      </c>
      <c r="E111" s="39">
        <v>3.3000000000000002E-2</v>
      </c>
      <c r="F111" s="32">
        <v>3.5999999999999997E-2</v>
      </c>
      <c r="G111" s="37">
        <v>3.9E-2</v>
      </c>
      <c r="H111" s="23">
        <v>2.8000000000000001E-2</v>
      </c>
      <c r="I111" s="32">
        <v>3.5999999999999997E-2</v>
      </c>
      <c r="J111" s="31">
        <v>0.03</v>
      </c>
      <c r="K111" s="22">
        <v>3.2000000000000001E-2</v>
      </c>
      <c r="L111" s="22">
        <v>3.2000000000000001E-2</v>
      </c>
      <c r="M111" s="32">
        <v>3.5999999999999997E-2</v>
      </c>
      <c r="N111" s="31">
        <v>3.1E-2</v>
      </c>
      <c r="O111" s="18" t="s">
        <v>83</v>
      </c>
    </row>
    <row r="112" spans="2:15" x14ac:dyDescent="0.2">
      <c r="B112" s="127"/>
      <c r="C112" s="19">
        <v>4.2000000000000003E-2</v>
      </c>
      <c r="D112" s="36">
        <v>1.32</v>
      </c>
      <c r="E112" s="22">
        <v>0.99099999999999999</v>
      </c>
      <c r="F112" s="31">
        <v>0.97</v>
      </c>
      <c r="G112" s="31">
        <v>0.88300000000000001</v>
      </c>
      <c r="H112" s="30">
        <v>1.4530000000000001</v>
      </c>
      <c r="I112" s="36">
        <v>1.244</v>
      </c>
      <c r="J112" s="36">
        <v>1.238</v>
      </c>
      <c r="K112" s="36">
        <v>1.31</v>
      </c>
      <c r="L112" s="32">
        <v>1.397</v>
      </c>
      <c r="M112" s="39">
        <v>1.19</v>
      </c>
      <c r="N112" s="19">
        <v>4.2999999999999997E-2</v>
      </c>
      <c r="O112" s="18">
        <v>570</v>
      </c>
    </row>
    <row r="113" spans="2:15" x14ac:dyDescent="0.2">
      <c r="B113" s="128"/>
      <c r="C113" s="27">
        <v>1.39</v>
      </c>
      <c r="D113" s="27">
        <v>44.003</v>
      </c>
      <c r="E113" s="27">
        <v>29.724</v>
      </c>
      <c r="F113" s="27">
        <v>26.847999999999999</v>
      </c>
      <c r="G113" s="27">
        <v>22.716000000000001</v>
      </c>
      <c r="H113" s="27">
        <v>51.271999999999998</v>
      </c>
      <c r="I113" s="27">
        <v>34.463000000000001</v>
      </c>
      <c r="J113" s="27">
        <v>41.277000000000001</v>
      </c>
      <c r="K113" s="27">
        <v>41.362000000000002</v>
      </c>
      <c r="L113" s="27">
        <v>44.125</v>
      </c>
      <c r="M113" s="27">
        <v>32.945999999999998</v>
      </c>
      <c r="N113" s="27">
        <v>1.411</v>
      </c>
      <c r="O113" s="18" t="s">
        <v>84</v>
      </c>
    </row>
    <row r="114" spans="2:15" x14ac:dyDescent="0.2">
      <c r="B114" s="126" t="s">
        <v>27</v>
      </c>
      <c r="C114" s="16">
        <v>4.7E-2</v>
      </c>
      <c r="D114" s="14">
        <v>4.9000000000000002E-2</v>
      </c>
      <c r="E114" s="119">
        <v>5.8999999999999997E-2</v>
      </c>
      <c r="F114" s="17">
        <v>6.0999999999999999E-2</v>
      </c>
      <c r="G114" s="118">
        <v>5.7000000000000002E-2</v>
      </c>
      <c r="H114" s="15">
        <v>4.9000000000000002E-2</v>
      </c>
      <c r="I114" s="33">
        <v>5.5E-2</v>
      </c>
      <c r="J114" s="118">
        <v>5.8000000000000003E-2</v>
      </c>
      <c r="K114" s="38">
        <v>6.7000000000000004E-2</v>
      </c>
      <c r="L114" s="15">
        <v>0.05</v>
      </c>
      <c r="M114" s="29">
        <v>5.2999999999999999E-2</v>
      </c>
      <c r="N114" s="15">
        <v>0.05</v>
      </c>
      <c r="O114" s="18" t="s">
        <v>81</v>
      </c>
    </row>
    <row r="115" spans="2:15" x14ac:dyDescent="0.2">
      <c r="B115" s="127"/>
      <c r="C115" s="19">
        <v>4.2000000000000003E-2</v>
      </c>
      <c r="D115" s="21">
        <v>4.3999999999999997E-2</v>
      </c>
      <c r="E115" s="31">
        <v>5.2999999999999999E-2</v>
      </c>
      <c r="F115" s="39">
        <v>5.6000000000000001E-2</v>
      </c>
      <c r="G115" s="24">
        <v>5.0999999999999997E-2</v>
      </c>
      <c r="H115" s="20">
        <v>4.3999999999999997E-2</v>
      </c>
      <c r="I115" s="23">
        <v>0.05</v>
      </c>
      <c r="J115" s="24">
        <v>5.0999999999999997E-2</v>
      </c>
      <c r="K115" s="30">
        <v>6.0999999999999999E-2</v>
      </c>
      <c r="L115" s="20">
        <v>4.3999999999999997E-2</v>
      </c>
      <c r="M115" s="26">
        <v>4.7E-2</v>
      </c>
      <c r="N115" s="21">
        <v>4.3999999999999997E-2</v>
      </c>
      <c r="O115" s="18" t="s">
        <v>82</v>
      </c>
    </row>
    <row r="116" spans="2:15" x14ac:dyDescent="0.2">
      <c r="B116" s="127"/>
      <c r="C116" s="25">
        <v>2.7E-2</v>
      </c>
      <c r="D116" s="23">
        <v>2.8000000000000001E-2</v>
      </c>
      <c r="E116" s="31">
        <v>3.1E-2</v>
      </c>
      <c r="F116" s="24">
        <v>2.9000000000000001E-2</v>
      </c>
      <c r="G116" s="39">
        <v>3.3000000000000002E-2</v>
      </c>
      <c r="H116" s="23">
        <v>2.8000000000000001E-2</v>
      </c>
      <c r="I116" s="24">
        <v>2.9000000000000001E-2</v>
      </c>
      <c r="J116" s="36">
        <v>3.5000000000000003E-2</v>
      </c>
      <c r="K116" s="31">
        <v>3.1E-2</v>
      </c>
      <c r="L116" s="36">
        <v>3.4000000000000002E-2</v>
      </c>
      <c r="M116" s="30">
        <v>3.6999999999999998E-2</v>
      </c>
      <c r="N116" s="39">
        <v>3.3000000000000002E-2</v>
      </c>
      <c r="O116" s="18" t="s">
        <v>83</v>
      </c>
    </row>
    <row r="117" spans="2:15" x14ac:dyDescent="0.2">
      <c r="B117" s="127"/>
      <c r="C117" s="19">
        <v>4.1000000000000002E-2</v>
      </c>
      <c r="D117" s="19">
        <v>9.0999999999999998E-2</v>
      </c>
      <c r="E117" s="31">
        <v>0.94199999999999995</v>
      </c>
      <c r="F117" s="22">
        <v>1.0529999999999999</v>
      </c>
      <c r="G117" s="31">
        <v>0.95499999999999996</v>
      </c>
      <c r="H117" s="19">
        <v>0.124</v>
      </c>
      <c r="I117" s="32">
        <v>1.3520000000000001</v>
      </c>
      <c r="J117" s="30">
        <v>1.5229999999999999</v>
      </c>
      <c r="K117" s="32">
        <v>1.3660000000000001</v>
      </c>
      <c r="L117" s="19">
        <v>7.3999999999999996E-2</v>
      </c>
      <c r="M117" s="32">
        <v>1.3580000000000001</v>
      </c>
      <c r="N117" s="19">
        <v>4.1000000000000002E-2</v>
      </c>
      <c r="O117" s="18">
        <v>570</v>
      </c>
    </row>
    <row r="118" spans="2:15" x14ac:dyDescent="0.2">
      <c r="B118" s="128"/>
      <c r="C118" s="27">
        <v>1.5209999999999999</v>
      </c>
      <c r="D118" s="27">
        <v>3.2120000000000002</v>
      </c>
      <c r="E118" s="27">
        <v>30.282</v>
      </c>
      <c r="F118" s="27">
        <v>35.755000000000003</v>
      </c>
      <c r="G118" s="27">
        <v>29.132999999999999</v>
      </c>
      <c r="H118" s="27">
        <v>4.4779999999999998</v>
      </c>
      <c r="I118" s="27">
        <v>45.902999999999999</v>
      </c>
      <c r="J118" s="27">
        <v>43.517000000000003</v>
      </c>
      <c r="K118" s="27">
        <v>44.695999999999998</v>
      </c>
      <c r="L118" s="27">
        <v>2.137</v>
      </c>
      <c r="M118" s="27">
        <v>37.045000000000002</v>
      </c>
      <c r="N118" s="27">
        <v>1.26</v>
      </c>
      <c r="O118" s="18" t="s">
        <v>84</v>
      </c>
    </row>
    <row r="119" spans="2:15" x14ac:dyDescent="0.2">
      <c r="B119" s="126" t="s">
        <v>35</v>
      </c>
      <c r="C119" s="16">
        <v>4.7E-2</v>
      </c>
      <c r="D119" s="33">
        <v>5.3999999999999999E-2</v>
      </c>
      <c r="E119" s="17">
        <v>6.0999999999999999E-2</v>
      </c>
      <c r="F119" s="38">
        <v>6.8000000000000005E-2</v>
      </c>
      <c r="G119" s="35">
        <v>6.2E-2</v>
      </c>
      <c r="H119" s="122">
        <v>6.4000000000000001E-2</v>
      </c>
      <c r="I119" s="118">
        <v>5.8000000000000003E-2</v>
      </c>
      <c r="J119" s="118">
        <v>5.8000000000000003E-2</v>
      </c>
      <c r="K119" s="35">
        <v>6.2E-2</v>
      </c>
      <c r="L119" s="120">
        <v>6.5000000000000002E-2</v>
      </c>
      <c r="M119" s="35">
        <v>6.2E-2</v>
      </c>
      <c r="N119" s="15">
        <v>4.9000000000000002E-2</v>
      </c>
      <c r="O119" s="18" t="s">
        <v>81</v>
      </c>
    </row>
    <row r="120" spans="2:15" x14ac:dyDescent="0.2">
      <c r="B120" s="127"/>
      <c r="C120" s="19">
        <v>4.2000000000000003E-2</v>
      </c>
      <c r="D120" s="23">
        <v>0.05</v>
      </c>
      <c r="E120" s="39">
        <v>5.7000000000000002E-2</v>
      </c>
      <c r="F120" s="37">
        <v>6.4000000000000001E-2</v>
      </c>
      <c r="G120" s="39">
        <v>5.7000000000000002E-2</v>
      </c>
      <c r="H120" s="32">
        <v>5.8999999999999997E-2</v>
      </c>
      <c r="I120" s="24">
        <v>5.1999999999999998E-2</v>
      </c>
      <c r="J120" s="31">
        <v>5.1999999999999998E-2</v>
      </c>
      <c r="K120" s="39">
        <v>5.7000000000000002E-2</v>
      </c>
      <c r="L120" s="32">
        <v>0.06</v>
      </c>
      <c r="M120" s="39">
        <v>5.7000000000000002E-2</v>
      </c>
      <c r="N120" s="21">
        <v>4.2999999999999997E-2</v>
      </c>
      <c r="O120" s="18" t="s">
        <v>82</v>
      </c>
    </row>
    <row r="121" spans="2:15" x14ac:dyDescent="0.2">
      <c r="B121" s="127"/>
      <c r="C121" s="26">
        <v>2.5999999999999999E-2</v>
      </c>
      <c r="D121" s="26">
        <v>2.5999999999999999E-2</v>
      </c>
      <c r="E121" s="19">
        <v>2.1999999999999999E-2</v>
      </c>
      <c r="F121" s="19">
        <v>2.1000000000000001E-2</v>
      </c>
      <c r="G121" s="26">
        <v>2.5999999999999999E-2</v>
      </c>
      <c r="H121" s="25">
        <v>2.7E-2</v>
      </c>
      <c r="I121" s="22">
        <v>3.2000000000000001E-2</v>
      </c>
      <c r="J121" s="24">
        <v>2.9000000000000001E-2</v>
      </c>
      <c r="K121" s="31">
        <v>3.1E-2</v>
      </c>
      <c r="L121" s="23">
        <v>2.8000000000000001E-2</v>
      </c>
      <c r="M121" s="23">
        <v>2.8000000000000001E-2</v>
      </c>
      <c r="N121" s="39">
        <v>3.3000000000000002E-2</v>
      </c>
      <c r="O121" s="18" t="s">
        <v>83</v>
      </c>
    </row>
    <row r="122" spans="2:15" x14ac:dyDescent="0.2">
      <c r="B122" s="127"/>
      <c r="C122" s="19">
        <v>4.2000000000000003E-2</v>
      </c>
      <c r="D122" s="37">
        <v>1.5629999999999999</v>
      </c>
      <c r="E122" s="32">
        <v>1.3620000000000001</v>
      </c>
      <c r="F122" s="37">
        <v>1.681</v>
      </c>
      <c r="G122" s="30">
        <v>1.512</v>
      </c>
      <c r="H122" s="30">
        <v>1.518</v>
      </c>
      <c r="I122" s="30">
        <v>1.474</v>
      </c>
      <c r="J122" s="30">
        <v>1.4550000000000001</v>
      </c>
      <c r="K122" s="32">
        <v>1.3580000000000001</v>
      </c>
      <c r="L122" s="30">
        <v>1.5109999999999999</v>
      </c>
      <c r="M122" s="30">
        <v>1.486</v>
      </c>
      <c r="N122" s="19">
        <v>4.2000000000000003E-2</v>
      </c>
      <c r="O122" s="18">
        <v>570</v>
      </c>
    </row>
    <row r="123" spans="2:15" x14ac:dyDescent="0.2">
      <c r="B123" s="128"/>
      <c r="C123" s="27">
        <v>1.589</v>
      </c>
      <c r="D123" s="27">
        <v>61.18</v>
      </c>
      <c r="E123" s="27">
        <v>61.298999999999999</v>
      </c>
      <c r="F123" s="27">
        <v>79.602999999999994</v>
      </c>
      <c r="G123" s="27">
        <v>59.156999999999996</v>
      </c>
      <c r="H123" s="27">
        <v>55.774000000000001</v>
      </c>
      <c r="I123" s="27">
        <v>46.531999999999996</v>
      </c>
      <c r="J123" s="27">
        <v>50.365000000000002</v>
      </c>
      <c r="K123" s="27">
        <v>44.433999999999997</v>
      </c>
      <c r="L123" s="27">
        <v>53.335999999999999</v>
      </c>
      <c r="M123" s="27">
        <v>53.491999999999997</v>
      </c>
      <c r="N123" s="27">
        <v>1.2689999999999999</v>
      </c>
      <c r="O123" s="18" t="s">
        <v>84</v>
      </c>
    </row>
    <row r="124" spans="2:15" x14ac:dyDescent="0.2">
      <c r="B124" s="126" t="s">
        <v>43</v>
      </c>
      <c r="C124" s="15">
        <v>4.9000000000000002E-2</v>
      </c>
      <c r="D124" s="15">
        <v>4.9000000000000002E-2</v>
      </c>
      <c r="E124" s="34">
        <v>5.7000000000000002E-2</v>
      </c>
      <c r="F124" s="118">
        <v>5.7000000000000002E-2</v>
      </c>
      <c r="G124" s="35">
        <v>6.2E-2</v>
      </c>
      <c r="H124" s="28">
        <v>5.0999999999999997E-2</v>
      </c>
      <c r="I124" s="28">
        <v>5.1999999999999998E-2</v>
      </c>
      <c r="J124" s="28">
        <v>5.0999999999999997E-2</v>
      </c>
      <c r="K124" s="33">
        <v>5.3999999999999999E-2</v>
      </c>
      <c r="L124" s="28">
        <v>5.0999999999999997E-2</v>
      </c>
      <c r="M124" s="120">
        <v>6.6000000000000003E-2</v>
      </c>
      <c r="N124" s="14">
        <v>4.8000000000000001E-2</v>
      </c>
      <c r="O124" s="18" t="s">
        <v>81</v>
      </c>
    </row>
    <row r="125" spans="2:15" x14ac:dyDescent="0.2">
      <c r="B125" s="127"/>
      <c r="C125" s="21">
        <v>4.3999999999999997E-2</v>
      </c>
      <c r="D125" s="21">
        <v>4.2999999999999997E-2</v>
      </c>
      <c r="E125" s="31">
        <v>5.1999999999999998E-2</v>
      </c>
      <c r="F125" s="31">
        <v>5.2999999999999999E-2</v>
      </c>
      <c r="G125" s="39">
        <v>5.7000000000000002E-2</v>
      </c>
      <c r="H125" s="20">
        <v>4.3999999999999997E-2</v>
      </c>
      <c r="I125" s="20">
        <v>4.4999999999999998E-2</v>
      </c>
      <c r="J125" s="20">
        <v>4.4999999999999998E-2</v>
      </c>
      <c r="K125" s="25">
        <v>4.9000000000000002E-2</v>
      </c>
      <c r="L125" s="20">
        <v>4.4999999999999998E-2</v>
      </c>
      <c r="M125" s="32">
        <v>0.06</v>
      </c>
      <c r="N125" s="21">
        <v>4.2999999999999997E-2</v>
      </c>
      <c r="O125" s="18" t="s">
        <v>82</v>
      </c>
    </row>
    <row r="126" spans="2:15" x14ac:dyDescent="0.2">
      <c r="B126" s="127"/>
      <c r="C126" s="31">
        <v>0.03</v>
      </c>
      <c r="D126" s="31">
        <v>3.1E-2</v>
      </c>
      <c r="E126" s="20">
        <v>2.4E-2</v>
      </c>
      <c r="F126" s="19">
        <v>2.1999999999999999E-2</v>
      </c>
      <c r="G126" s="25">
        <v>2.7E-2</v>
      </c>
      <c r="H126" s="36">
        <v>3.5000000000000003E-2</v>
      </c>
      <c r="I126" s="32">
        <v>3.5999999999999997E-2</v>
      </c>
      <c r="J126" s="22">
        <v>3.2000000000000001E-2</v>
      </c>
      <c r="K126" s="24">
        <v>2.9000000000000001E-2</v>
      </c>
      <c r="L126" s="22">
        <v>3.2000000000000001E-2</v>
      </c>
      <c r="M126" s="23">
        <v>2.8000000000000001E-2</v>
      </c>
      <c r="N126" s="31">
        <v>3.1E-2</v>
      </c>
      <c r="O126" s="18" t="s">
        <v>83</v>
      </c>
    </row>
    <row r="127" spans="2:15" x14ac:dyDescent="0.2">
      <c r="B127" s="127"/>
      <c r="C127" s="19">
        <v>4.1000000000000002E-2</v>
      </c>
      <c r="D127" s="19">
        <v>8.8999999999999996E-2</v>
      </c>
      <c r="E127" s="32">
        <v>1.399</v>
      </c>
      <c r="F127" s="36">
        <v>1.329</v>
      </c>
      <c r="G127" s="32">
        <v>1.417</v>
      </c>
      <c r="H127" s="19">
        <v>8.4000000000000005E-2</v>
      </c>
      <c r="I127" s="36">
        <v>1.304</v>
      </c>
      <c r="J127" s="36">
        <v>1.3120000000000001</v>
      </c>
      <c r="K127" s="32">
        <v>1.341</v>
      </c>
      <c r="L127" s="19">
        <v>7.1999999999999995E-2</v>
      </c>
      <c r="M127" s="32">
        <v>1.373</v>
      </c>
      <c r="N127" s="19">
        <v>4.2000000000000003E-2</v>
      </c>
      <c r="O127" s="18">
        <v>570</v>
      </c>
    </row>
    <row r="128" spans="2:15" x14ac:dyDescent="0.2">
      <c r="B128" s="128"/>
      <c r="C128" s="27">
        <v>1.367</v>
      </c>
      <c r="D128" s="27">
        <v>2.903</v>
      </c>
      <c r="E128" s="27">
        <v>58.575000000000003</v>
      </c>
      <c r="F128" s="27">
        <v>59.801000000000002</v>
      </c>
      <c r="G128" s="27">
        <v>53.155999999999999</v>
      </c>
      <c r="H128" s="27">
        <v>2.3889999999999998</v>
      </c>
      <c r="I128" s="27">
        <v>36.101999999999997</v>
      </c>
      <c r="J128" s="27">
        <v>41.427999999999997</v>
      </c>
      <c r="K128" s="27">
        <v>46.408999999999999</v>
      </c>
      <c r="L128" s="27">
        <v>2.2610000000000001</v>
      </c>
      <c r="M128" s="27">
        <v>49.41</v>
      </c>
      <c r="N128" s="27">
        <v>1.375</v>
      </c>
      <c r="O128" s="18" t="s">
        <v>84</v>
      </c>
    </row>
    <row r="129" spans="1:15" x14ac:dyDescent="0.2">
      <c r="B129" s="126" t="s">
        <v>51</v>
      </c>
      <c r="C129" s="16">
        <v>4.5999999999999999E-2</v>
      </c>
      <c r="D129" s="15">
        <v>4.9000000000000002E-2</v>
      </c>
      <c r="E129" s="16">
        <v>4.5999999999999999E-2</v>
      </c>
      <c r="F129" s="15">
        <v>4.9000000000000002E-2</v>
      </c>
      <c r="G129" s="14">
        <v>4.9000000000000002E-2</v>
      </c>
      <c r="H129" s="15">
        <v>4.9000000000000002E-2</v>
      </c>
      <c r="I129" s="15">
        <v>0.05</v>
      </c>
      <c r="J129" s="14">
        <v>4.9000000000000002E-2</v>
      </c>
      <c r="K129" s="15">
        <v>0.05</v>
      </c>
      <c r="L129" s="14">
        <v>4.9000000000000002E-2</v>
      </c>
      <c r="M129" s="15">
        <v>0.05</v>
      </c>
      <c r="N129" s="28">
        <v>5.0999999999999997E-2</v>
      </c>
      <c r="O129" s="18" t="s">
        <v>81</v>
      </c>
    </row>
    <row r="130" spans="1:15" x14ac:dyDescent="0.2">
      <c r="B130" s="127"/>
      <c r="C130" s="19">
        <v>4.1000000000000002E-2</v>
      </c>
      <c r="D130" s="21">
        <v>4.2999999999999997E-2</v>
      </c>
      <c r="E130" s="19">
        <v>4.2000000000000003E-2</v>
      </c>
      <c r="F130" s="21">
        <v>4.3999999999999997E-2</v>
      </c>
      <c r="G130" s="21">
        <v>4.2999999999999997E-2</v>
      </c>
      <c r="H130" s="21">
        <v>4.2999999999999997E-2</v>
      </c>
      <c r="I130" s="21">
        <v>4.2999999999999997E-2</v>
      </c>
      <c r="J130" s="21">
        <v>4.2999999999999997E-2</v>
      </c>
      <c r="K130" s="21">
        <v>4.2999999999999997E-2</v>
      </c>
      <c r="L130" s="21">
        <v>4.2999999999999997E-2</v>
      </c>
      <c r="M130" s="21">
        <v>4.2999999999999997E-2</v>
      </c>
      <c r="N130" s="26">
        <v>4.5999999999999999E-2</v>
      </c>
      <c r="O130" s="18" t="s">
        <v>82</v>
      </c>
    </row>
    <row r="131" spans="1:15" x14ac:dyDescent="0.2">
      <c r="B131" s="127"/>
      <c r="C131" s="25">
        <v>2.7E-2</v>
      </c>
      <c r="D131" s="39">
        <v>3.3000000000000002E-2</v>
      </c>
      <c r="E131" s="26">
        <v>2.5999999999999999E-2</v>
      </c>
      <c r="F131" s="31">
        <v>3.1E-2</v>
      </c>
      <c r="G131" s="31">
        <v>0.03</v>
      </c>
      <c r="H131" s="39">
        <v>3.3000000000000002E-2</v>
      </c>
      <c r="I131" s="36">
        <v>3.5000000000000003E-2</v>
      </c>
      <c r="J131" s="31">
        <v>3.1E-2</v>
      </c>
      <c r="K131" s="30">
        <v>3.6999999999999998E-2</v>
      </c>
      <c r="L131" s="31">
        <v>3.1E-2</v>
      </c>
      <c r="M131" s="30">
        <v>3.6999999999999998E-2</v>
      </c>
      <c r="N131" s="31">
        <v>3.1E-2</v>
      </c>
      <c r="O131" s="18" t="s">
        <v>83</v>
      </c>
    </row>
    <row r="132" spans="1:15" x14ac:dyDescent="0.2">
      <c r="B132" s="127"/>
      <c r="C132" s="19">
        <v>0.04</v>
      </c>
      <c r="D132" s="19">
        <v>4.1000000000000002E-2</v>
      </c>
      <c r="E132" s="19">
        <v>4.1000000000000002E-2</v>
      </c>
      <c r="F132" s="19">
        <v>4.1000000000000002E-2</v>
      </c>
      <c r="G132" s="19">
        <v>4.3999999999999997E-2</v>
      </c>
      <c r="H132" s="19">
        <v>4.1000000000000002E-2</v>
      </c>
      <c r="I132" s="19">
        <v>0.04</v>
      </c>
      <c r="J132" s="19">
        <v>4.1000000000000002E-2</v>
      </c>
      <c r="K132" s="19">
        <v>4.1000000000000002E-2</v>
      </c>
      <c r="L132" s="19">
        <v>4.1000000000000002E-2</v>
      </c>
      <c r="M132" s="19">
        <v>4.1000000000000002E-2</v>
      </c>
      <c r="N132" s="19">
        <v>4.2999999999999997E-2</v>
      </c>
      <c r="O132" s="18">
        <v>570</v>
      </c>
    </row>
    <row r="133" spans="1:15" x14ac:dyDescent="0.2">
      <c r="B133" s="128"/>
      <c r="C133" s="27">
        <v>1.5149999999999999</v>
      </c>
      <c r="D133" s="27">
        <v>1.2450000000000001</v>
      </c>
      <c r="E133" s="27">
        <v>1.5780000000000001</v>
      </c>
      <c r="F133" s="27">
        <v>1.302</v>
      </c>
      <c r="G133" s="27">
        <v>1.48</v>
      </c>
      <c r="H133" s="27">
        <v>1.23</v>
      </c>
      <c r="I133" s="27">
        <v>1.149</v>
      </c>
      <c r="J133" s="27">
        <v>1.3520000000000001</v>
      </c>
      <c r="K133" s="27">
        <v>1.1040000000000001</v>
      </c>
      <c r="L133" s="27">
        <v>1.3049999999999999</v>
      </c>
      <c r="M133" s="27">
        <v>1.113</v>
      </c>
      <c r="N133" s="27">
        <v>1.3919999999999999</v>
      </c>
      <c r="O133" s="18" t="s">
        <v>84</v>
      </c>
    </row>
    <row r="136" spans="1:15" x14ac:dyDescent="0.2">
      <c r="A136" t="s">
        <v>53</v>
      </c>
      <c r="B136" t="s">
        <v>54</v>
      </c>
      <c r="D136" s="7" t="s">
        <v>52</v>
      </c>
      <c r="E136" s="40">
        <v>45364</v>
      </c>
      <c r="F136" s="7" t="s">
        <v>111</v>
      </c>
    </row>
    <row r="138" spans="1:15" x14ac:dyDescent="0.2">
      <c r="A138" t="s">
        <v>55</v>
      </c>
    </row>
    <row r="139" spans="1:15" x14ac:dyDescent="0.2">
      <c r="A139" t="s">
        <v>56</v>
      </c>
      <c r="B139" t="s">
        <v>57</v>
      </c>
    </row>
    <row r="140" spans="1:15" x14ac:dyDescent="0.2">
      <c r="A140" t="s">
        <v>58</v>
      </c>
      <c r="B140" t="s">
        <v>111</v>
      </c>
    </row>
    <row r="141" spans="1:15" x14ac:dyDescent="0.2">
      <c r="A141" t="s">
        <v>60</v>
      </c>
      <c r="B141" s="8">
        <v>45364</v>
      </c>
    </row>
    <row r="142" spans="1:15" x14ac:dyDescent="0.2">
      <c r="A142" t="s">
        <v>61</v>
      </c>
      <c r="B142" s="9">
        <v>0.64621527777777776</v>
      </c>
    </row>
    <row r="143" spans="1:15" x14ac:dyDescent="0.2">
      <c r="A143" t="s">
        <v>62</v>
      </c>
      <c r="B143" t="s">
        <v>63</v>
      </c>
    </row>
    <row r="144" spans="1:15" x14ac:dyDescent="0.2">
      <c r="A144" t="s">
        <v>64</v>
      </c>
      <c r="B144" t="s">
        <v>65</v>
      </c>
    </row>
    <row r="145" spans="1:14" x14ac:dyDescent="0.2">
      <c r="A145" t="s">
        <v>66</v>
      </c>
      <c r="B145" t="s">
        <v>67</v>
      </c>
    </row>
    <row r="147" spans="1:14" x14ac:dyDescent="0.2">
      <c r="A147" s="10" t="s">
        <v>68</v>
      </c>
      <c r="B147" s="11"/>
    </row>
    <row r="148" spans="1:14" x14ac:dyDescent="0.2">
      <c r="A148" t="s">
        <v>69</v>
      </c>
      <c r="B148" t="s">
        <v>70</v>
      </c>
    </row>
    <row r="149" spans="1:14" x14ac:dyDescent="0.2">
      <c r="A149" t="s">
        <v>71</v>
      </c>
    </row>
    <row r="150" spans="1:14" x14ac:dyDescent="0.2">
      <c r="A150" t="s">
        <v>72</v>
      </c>
      <c r="B150" t="s">
        <v>73</v>
      </c>
    </row>
    <row r="151" spans="1:14" x14ac:dyDescent="0.2">
      <c r="B151" t="s">
        <v>74</v>
      </c>
    </row>
    <row r="152" spans="1:14" x14ac:dyDescent="0.2">
      <c r="B152" t="s">
        <v>75</v>
      </c>
    </row>
    <row r="153" spans="1:14" x14ac:dyDescent="0.2">
      <c r="B153" t="s">
        <v>76</v>
      </c>
    </row>
    <row r="154" spans="1:14" x14ac:dyDescent="0.2">
      <c r="B154" t="s">
        <v>77</v>
      </c>
    </row>
    <row r="155" spans="1:14" x14ac:dyDescent="0.2">
      <c r="B155" t="s">
        <v>78</v>
      </c>
    </row>
    <row r="157" spans="1:14" x14ac:dyDescent="0.2">
      <c r="A157" s="10" t="s">
        <v>79</v>
      </c>
      <c r="B157" s="11"/>
    </row>
    <row r="158" spans="1:14" x14ac:dyDescent="0.2">
      <c r="A158" t="s">
        <v>80</v>
      </c>
      <c r="B158">
        <v>21</v>
      </c>
    </row>
    <row r="160" spans="1:14" x14ac:dyDescent="0.2">
      <c r="B160" s="12"/>
      <c r="C160" s="13">
        <v>1</v>
      </c>
      <c r="D160" s="13">
        <v>2</v>
      </c>
      <c r="E160" s="13">
        <v>3</v>
      </c>
      <c r="F160" s="13">
        <v>4</v>
      </c>
      <c r="G160" s="13">
        <v>5</v>
      </c>
      <c r="H160" s="13">
        <v>6</v>
      </c>
      <c r="I160" s="13">
        <v>7</v>
      </c>
      <c r="J160" s="13">
        <v>8</v>
      </c>
      <c r="K160" s="13">
        <v>9</v>
      </c>
      <c r="L160" s="13">
        <v>10</v>
      </c>
      <c r="M160" s="13">
        <v>11</v>
      </c>
      <c r="N160" s="13">
        <v>12</v>
      </c>
    </row>
    <row r="161" spans="2:15" x14ac:dyDescent="0.2">
      <c r="B161" s="126" t="s">
        <v>0</v>
      </c>
      <c r="C161" s="14">
        <v>4.9000000000000002E-2</v>
      </c>
      <c r="D161" s="14">
        <v>4.9000000000000002E-2</v>
      </c>
      <c r="E161" s="14">
        <v>4.8000000000000001E-2</v>
      </c>
      <c r="F161" s="14">
        <v>4.9000000000000002E-2</v>
      </c>
      <c r="G161" s="16">
        <v>4.5999999999999999E-2</v>
      </c>
      <c r="H161" s="16">
        <v>4.8000000000000001E-2</v>
      </c>
      <c r="I161" s="14">
        <v>4.8000000000000001E-2</v>
      </c>
      <c r="J161" s="16">
        <v>4.5999999999999999E-2</v>
      </c>
      <c r="K161" s="16">
        <v>4.7E-2</v>
      </c>
      <c r="L161" s="14">
        <v>4.9000000000000002E-2</v>
      </c>
      <c r="M161" s="15">
        <v>5.1999999999999998E-2</v>
      </c>
      <c r="N161" s="14">
        <v>4.9000000000000002E-2</v>
      </c>
      <c r="O161" s="18" t="s">
        <v>81</v>
      </c>
    </row>
    <row r="162" spans="2:15" x14ac:dyDescent="0.2">
      <c r="B162" s="127"/>
      <c r="C162" s="21">
        <v>4.2999999999999997E-2</v>
      </c>
      <c r="D162" s="21">
        <v>4.2000000000000003E-2</v>
      </c>
      <c r="E162" s="21">
        <v>4.2000000000000003E-2</v>
      </c>
      <c r="F162" s="21">
        <v>4.2999999999999997E-2</v>
      </c>
      <c r="G162" s="19">
        <v>4.1000000000000002E-2</v>
      </c>
      <c r="H162" s="21">
        <v>4.2000000000000003E-2</v>
      </c>
      <c r="I162" s="21">
        <v>4.2000000000000003E-2</v>
      </c>
      <c r="J162" s="19">
        <v>3.9E-2</v>
      </c>
      <c r="K162" s="21">
        <v>4.2000000000000003E-2</v>
      </c>
      <c r="L162" s="21">
        <v>4.2999999999999997E-2</v>
      </c>
      <c r="M162" s="26">
        <v>4.5999999999999999E-2</v>
      </c>
      <c r="N162" s="21">
        <v>4.2999999999999997E-2</v>
      </c>
      <c r="O162" s="18" t="s">
        <v>82</v>
      </c>
    </row>
    <row r="163" spans="2:15" x14ac:dyDescent="0.2">
      <c r="B163" s="127"/>
      <c r="C163" s="39">
        <v>3.3000000000000002E-2</v>
      </c>
      <c r="D163" s="39">
        <v>3.4000000000000002E-2</v>
      </c>
      <c r="E163" s="22">
        <v>3.1E-2</v>
      </c>
      <c r="F163" s="36">
        <v>3.5999999999999997E-2</v>
      </c>
      <c r="G163" s="24">
        <v>2.7E-2</v>
      </c>
      <c r="H163" s="22">
        <v>3.2000000000000001E-2</v>
      </c>
      <c r="I163" s="39">
        <v>3.3000000000000002E-2</v>
      </c>
      <c r="J163" s="36">
        <v>3.5999999999999997E-2</v>
      </c>
      <c r="K163" s="31">
        <v>0.03</v>
      </c>
      <c r="L163" s="39">
        <v>3.4000000000000002E-2</v>
      </c>
      <c r="M163" s="31">
        <v>2.9000000000000001E-2</v>
      </c>
      <c r="N163" s="39">
        <v>3.3000000000000002E-2</v>
      </c>
      <c r="O163" s="18" t="s">
        <v>83</v>
      </c>
    </row>
    <row r="164" spans="2:15" x14ac:dyDescent="0.2">
      <c r="B164" s="127"/>
      <c r="C164" s="19">
        <v>4.1000000000000002E-2</v>
      </c>
      <c r="D164" s="19">
        <v>4.1000000000000002E-2</v>
      </c>
      <c r="E164" s="19">
        <v>4.1000000000000002E-2</v>
      </c>
      <c r="F164" s="19">
        <v>4.2000000000000003E-2</v>
      </c>
      <c r="G164" s="19">
        <v>4.1000000000000002E-2</v>
      </c>
      <c r="H164" s="19">
        <v>0.04</v>
      </c>
      <c r="I164" s="19">
        <v>4.1000000000000002E-2</v>
      </c>
      <c r="J164" s="19">
        <v>3.6999999999999998E-2</v>
      </c>
      <c r="K164" s="19">
        <v>4.1000000000000002E-2</v>
      </c>
      <c r="L164" s="19">
        <v>4.2000000000000003E-2</v>
      </c>
      <c r="M164" s="19">
        <v>4.4999999999999998E-2</v>
      </c>
      <c r="N164" s="19">
        <v>4.2999999999999997E-2</v>
      </c>
      <c r="O164" s="18">
        <v>570</v>
      </c>
    </row>
    <row r="165" spans="2:15" x14ac:dyDescent="0.2">
      <c r="B165" s="128"/>
      <c r="C165" s="27">
        <v>1.2629999999999999</v>
      </c>
      <c r="D165" s="27">
        <v>1.2010000000000001</v>
      </c>
      <c r="E165" s="27">
        <v>1.327</v>
      </c>
      <c r="F165" s="27">
        <v>1.17</v>
      </c>
      <c r="G165" s="27">
        <v>1.4990000000000001</v>
      </c>
      <c r="H165" s="27">
        <v>1.276</v>
      </c>
      <c r="I165" s="27">
        <v>1.2450000000000001</v>
      </c>
      <c r="J165" s="27">
        <v>1.038</v>
      </c>
      <c r="K165" s="27">
        <v>1.38</v>
      </c>
      <c r="L165" s="27">
        <v>1.248</v>
      </c>
      <c r="M165" s="27">
        <v>1.5149999999999999</v>
      </c>
      <c r="N165" s="27">
        <v>1.3120000000000001</v>
      </c>
      <c r="O165" s="18" t="s">
        <v>84</v>
      </c>
    </row>
    <row r="166" spans="2:15" x14ac:dyDescent="0.2">
      <c r="B166" s="126" t="s">
        <v>1</v>
      </c>
      <c r="C166" s="16">
        <v>4.8000000000000001E-2</v>
      </c>
      <c r="D166" s="28">
        <v>5.2999999999999999E-2</v>
      </c>
      <c r="E166" s="29">
        <v>5.5E-2</v>
      </c>
      <c r="F166" s="16">
        <v>4.7E-2</v>
      </c>
      <c r="G166" s="14">
        <v>4.8000000000000001E-2</v>
      </c>
      <c r="H166" s="28">
        <v>5.2999999999999999E-2</v>
      </c>
      <c r="I166" s="15">
        <v>5.0999999999999997E-2</v>
      </c>
      <c r="J166" s="15">
        <v>5.0999999999999997E-2</v>
      </c>
      <c r="K166" s="14">
        <v>0.05</v>
      </c>
      <c r="L166" s="29">
        <v>5.3999999999999999E-2</v>
      </c>
      <c r="M166" s="15">
        <v>5.0999999999999997E-2</v>
      </c>
      <c r="N166" s="14">
        <v>4.9000000000000002E-2</v>
      </c>
      <c r="O166" s="18" t="s">
        <v>81</v>
      </c>
    </row>
    <row r="167" spans="2:15" x14ac:dyDescent="0.2">
      <c r="B167" s="127"/>
      <c r="C167" s="21">
        <v>4.2000000000000003E-2</v>
      </c>
      <c r="D167" s="26">
        <v>4.7E-2</v>
      </c>
      <c r="E167" s="25">
        <v>0.05</v>
      </c>
      <c r="F167" s="21">
        <v>4.2000000000000003E-2</v>
      </c>
      <c r="G167" s="19">
        <v>4.1000000000000002E-2</v>
      </c>
      <c r="H167" s="26">
        <v>4.5999999999999999E-2</v>
      </c>
      <c r="I167" s="20">
        <v>4.4999999999999998E-2</v>
      </c>
      <c r="J167" s="20">
        <v>4.3999999999999997E-2</v>
      </c>
      <c r="K167" s="21">
        <v>4.2999999999999997E-2</v>
      </c>
      <c r="L167" s="26">
        <v>4.7E-2</v>
      </c>
      <c r="M167" s="21">
        <v>4.2999999999999997E-2</v>
      </c>
      <c r="N167" s="21">
        <v>4.2999999999999997E-2</v>
      </c>
      <c r="O167" s="18" t="s">
        <v>82</v>
      </c>
    </row>
    <row r="168" spans="2:15" x14ac:dyDescent="0.2">
      <c r="B168" s="127"/>
      <c r="C168" s="31">
        <v>3.1E-2</v>
      </c>
      <c r="D168" s="32">
        <v>3.6999999999999998E-2</v>
      </c>
      <c r="E168" s="31">
        <v>2.9000000000000001E-2</v>
      </c>
      <c r="F168" s="31">
        <v>2.9000000000000001E-2</v>
      </c>
      <c r="G168" s="32">
        <v>3.6999999999999998E-2</v>
      </c>
      <c r="H168" s="36">
        <v>3.5000000000000003E-2</v>
      </c>
      <c r="I168" s="31">
        <v>3.1E-2</v>
      </c>
      <c r="J168" s="32">
        <v>3.7999999999999999E-2</v>
      </c>
      <c r="K168" s="32">
        <v>3.6999999999999998E-2</v>
      </c>
      <c r="L168" s="30">
        <v>0.04</v>
      </c>
      <c r="M168" s="30">
        <v>3.9E-2</v>
      </c>
      <c r="N168" s="22">
        <v>3.1E-2</v>
      </c>
      <c r="O168" s="18" t="s">
        <v>83</v>
      </c>
    </row>
    <row r="169" spans="2:15" x14ac:dyDescent="0.2">
      <c r="B169" s="127"/>
      <c r="C169" s="19">
        <v>4.2000000000000003E-2</v>
      </c>
      <c r="D169" s="30">
        <v>1.4379999999999999</v>
      </c>
      <c r="E169" s="31">
        <v>0.89800000000000002</v>
      </c>
      <c r="F169" s="19">
        <v>5.3999999999999999E-2</v>
      </c>
      <c r="G169" s="21">
        <v>0.16600000000000001</v>
      </c>
      <c r="H169" s="32">
        <v>1.2609999999999999</v>
      </c>
      <c r="I169" s="21">
        <v>0.24399999999999999</v>
      </c>
      <c r="J169" s="19">
        <v>0.129</v>
      </c>
      <c r="K169" s="21">
        <v>0.23</v>
      </c>
      <c r="L169" s="36">
        <v>1.208</v>
      </c>
      <c r="M169" s="19">
        <v>0.10199999999999999</v>
      </c>
      <c r="N169" s="19">
        <v>4.1000000000000002E-2</v>
      </c>
      <c r="O169" s="18">
        <v>570</v>
      </c>
    </row>
    <row r="170" spans="2:15" x14ac:dyDescent="0.2">
      <c r="B170" s="128"/>
      <c r="C170" s="27">
        <v>1.381</v>
      </c>
      <c r="D170" s="27">
        <v>39.21</v>
      </c>
      <c r="E170" s="27">
        <v>30.488</v>
      </c>
      <c r="F170" s="27">
        <v>1.837</v>
      </c>
      <c r="G170" s="27">
        <v>4.452</v>
      </c>
      <c r="H170" s="27">
        <v>36.04</v>
      </c>
      <c r="I170" s="27">
        <v>7.9790000000000001</v>
      </c>
      <c r="J170" s="27">
        <v>3.4119999999999999</v>
      </c>
      <c r="K170" s="27">
        <v>6.19</v>
      </c>
      <c r="L170" s="27">
        <v>30.204999999999998</v>
      </c>
      <c r="M170" s="27">
        <v>2.5779999999999998</v>
      </c>
      <c r="N170" s="27">
        <v>1.321</v>
      </c>
      <c r="O170" s="18" t="s">
        <v>84</v>
      </c>
    </row>
    <row r="171" spans="2:15" x14ac:dyDescent="0.2">
      <c r="B171" s="126" t="s">
        <v>10</v>
      </c>
      <c r="C171" s="15">
        <v>0.05</v>
      </c>
      <c r="D171" s="15">
        <v>0.05</v>
      </c>
      <c r="E171" s="15">
        <v>5.1999999999999998E-2</v>
      </c>
      <c r="F171" s="15">
        <v>0.05</v>
      </c>
      <c r="G171" s="15">
        <v>0.05</v>
      </c>
      <c r="H171" s="14">
        <v>4.9000000000000002E-2</v>
      </c>
      <c r="I171" s="15">
        <v>5.0999999999999997E-2</v>
      </c>
      <c r="J171" s="15">
        <v>5.0999999999999997E-2</v>
      </c>
      <c r="K171" s="14">
        <v>4.9000000000000002E-2</v>
      </c>
      <c r="L171" s="15">
        <v>0.05</v>
      </c>
      <c r="M171" s="33">
        <v>5.7000000000000002E-2</v>
      </c>
      <c r="N171" s="14">
        <v>4.8000000000000001E-2</v>
      </c>
      <c r="O171" s="18" t="s">
        <v>81</v>
      </c>
    </row>
    <row r="172" spans="2:15" x14ac:dyDescent="0.2">
      <c r="B172" s="127"/>
      <c r="C172" s="20">
        <v>4.3999999999999997E-2</v>
      </c>
      <c r="D172" s="20">
        <v>4.3999999999999997E-2</v>
      </c>
      <c r="E172" s="20">
        <v>4.4999999999999998E-2</v>
      </c>
      <c r="F172" s="20">
        <v>4.3999999999999997E-2</v>
      </c>
      <c r="G172" s="20">
        <v>4.4999999999999998E-2</v>
      </c>
      <c r="H172" s="21">
        <v>4.2999999999999997E-2</v>
      </c>
      <c r="I172" s="20">
        <v>4.4999999999999998E-2</v>
      </c>
      <c r="J172" s="20">
        <v>4.4999999999999998E-2</v>
      </c>
      <c r="K172" s="21">
        <v>4.2999999999999997E-2</v>
      </c>
      <c r="L172" s="20">
        <v>4.3999999999999997E-2</v>
      </c>
      <c r="M172" s="23">
        <v>5.0999999999999997E-2</v>
      </c>
      <c r="N172" s="21">
        <v>4.2999999999999997E-2</v>
      </c>
      <c r="O172" s="18" t="s">
        <v>82</v>
      </c>
    </row>
    <row r="173" spans="2:15" x14ac:dyDescent="0.2">
      <c r="B173" s="127"/>
      <c r="C173" s="36">
        <v>3.5000000000000003E-2</v>
      </c>
      <c r="D173" s="39">
        <v>3.4000000000000002E-2</v>
      </c>
      <c r="E173" s="36">
        <v>3.5999999999999997E-2</v>
      </c>
      <c r="F173" s="39">
        <v>3.3000000000000002E-2</v>
      </c>
      <c r="G173" s="24">
        <v>2.7E-2</v>
      </c>
      <c r="H173" s="22">
        <v>3.1E-2</v>
      </c>
      <c r="I173" s="32">
        <v>3.6999999999999998E-2</v>
      </c>
      <c r="J173" s="36">
        <v>3.5000000000000003E-2</v>
      </c>
      <c r="K173" s="32">
        <v>3.6999999999999998E-2</v>
      </c>
      <c r="L173" s="32">
        <v>3.6999999999999998E-2</v>
      </c>
      <c r="M173" s="39">
        <v>3.3000000000000002E-2</v>
      </c>
      <c r="N173" s="22">
        <v>3.1E-2</v>
      </c>
      <c r="O173" s="18" t="s">
        <v>83</v>
      </c>
    </row>
    <row r="174" spans="2:15" x14ac:dyDescent="0.2">
      <c r="B174" s="127"/>
      <c r="C174" s="19">
        <v>4.1000000000000002E-2</v>
      </c>
      <c r="D174" s="19">
        <v>0.11600000000000001</v>
      </c>
      <c r="E174" s="31">
        <v>0.86799999999999999</v>
      </c>
      <c r="F174" s="20">
        <v>0.33100000000000002</v>
      </c>
      <c r="G174" s="26">
        <v>0.41699999999999998</v>
      </c>
      <c r="H174" s="19">
        <v>7.1999999999999995E-2</v>
      </c>
      <c r="I174" s="19">
        <v>5.6000000000000001E-2</v>
      </c>
      <c r="J174" s="26">
        <v>0.41199999999999998</v>
      </c>
      <c r="K174" s="21">
        <v>0.157</v>
      </c>
      <c r="L174" s="19">
        <v>6.3E-2</v>
      </c>
      <c r="M174" s="20">
        <v>0.35299999999999998</v>
      </c>
      <c r="N174" s="19">
        <v>4.2000000000000003E-2</v>
      </c>
      <c r="O174" s="18">
        <v>570</v>
      </c>
    </row>
    <row r="175" spans="2:15" x14ac:dyDescent="0.2">
      <c r="B175" s="128"/>
      <c r="C175" s="27">
        <v>1.1830000000000001</v>
      </c>
      <c r="D175" s="27">
        <v>3.42</v>
      </c>
      <c r="E175" s="27">
        <v>24.420999999999999</v>
      </c>
      <c r="F175" s="27">
        <v>10.095000000000001</v>
      </c>
      <c r="G175" s="27">
        <v>15.648999999999999</v>
      </c>
      <c r="H175" s="27">
        <v>2.3079999999999998</v>
      </c>
      <c r="I175" s="27">
        <v>1.53</v>
      </c>
      <c r="J175" s="27">
        <v>11.776999999999999</v>
      </c>
      <c r="K175" s="27">
        <v>4.2759999999999998</v>
      </c>
      <c r="L175" s="27">
        <v>1.7130000000000001</v>
      </c>
      <c r="M175" s="27">
        <v>10.769</v>
      </c>
      <c r="N175" s="27">
        <v>1.3580000000000001</v>
      </c>
      <c r="O175" s="18" t="s">
        <v>84</v>
      </c>
    </row>
    <row r="176" spans="2:15" x14ac:dyDescent="0.2">
      <c r="B176" s="126" t="s">
        <v>19</v>
      </c>
      <c r="C176" s="15">
        <v>5.0999999999999997E-2</v>
      </c>
      <c r="D176" s="33">
        <v>5.7000000000000002E-2</v>
      </c>
      <c r="E176" s="33">
        <v>5.7000000000000002E-2</v>
      </c>
      <c r="F176" s="118">
        <v>6.0999999999999999E-2</v>
      </c>
      <c r="G176" s="118">
        <v>6.0999999999999999E-2</v>
      </c>
      <c r="H176" s="34">
        <v>5.8000000000000003E-2</v>
      </c>
      <c r="I176" s="15">
        <v>5.0999999999999997E-2</v>
      </c>
      <c r="J176" s="35">
        <v>6.7000000000000004E-2</v>
      </c>
      <c r="K176" s="119">
        <v>6.4000000000000001E-2</v>
      </c>
      <c r="L176" s="119">
        <v>6.4000000000000001E-2</v>
      </c>
      <c r="M176" s="15">
        <v>5.0999999999999997E-2</v>
      </c>
      <c r="N176" s="14">
        <v>4.9000000000000002E-2</v>
      </c>
      <c r="O176" s="18" t="s">
        <v>81</v>
      </c>
    </row>
    <row r="177" spans="2:15" x14ac:dyDescent="0.2">
      <c r="B177" s="127"/>
      <c r="C177" s="20">
        <v>4.4999999999999998E-2</v>
      </c>
      <c r="D177" s="23">
        <v>5.0999999999999997E-2</v>
      </c>
      <c r="E177" s="23">
        <v>5.1999999999999998E-2</v>
      </c>
      <c r="F177" s="31">
        <v>5.5E-2</v>
      </c>
      <c r="G177" s="31">
        <v>5.6000000000000001E-2</v>
      </c>
      <c r="H177" s="24">
        <v>5.1999999999999998E-2</v>
      </c>
      <c r="I177" s="20">
        <v>4.4999999999999998E-2</v>
      </c>
      <c r="J177" s="32">
        <v>6.4000000000000001E-2</v>
      </c>
      <c r="K177" s="39">
        <v>0.06</v>
      </c>
      <c r="L177" s="22">
        <v>5.8000000000000003E-2</v>
      </c>
      <c r="M177" s="20">
        <v>4.3999999999999997E-2</v>
      </c>
      <c r="N177" s="21">
        <v>4.2999999999999997E-2</v>
      </c>
      <c r="O177" s="18" t="s">
        <v>82</v>
      </c>
    </row>
    <row r="178" spans="2:15" x14ac:dyDescent="0.2">
      <c r="B178" s="127"/>
      <c r="C178" s="39">
        <v>3.4000000000000002E-2</v>
      </c>
      <c r="D178" s="39">
        <v>3.3000000000000002E-2</v>
      </c>
      <c r="E178" s="22">
        <v>3.2000000000000001E-2</v>
      </c>
      <c r="F178" s="39">
        <v>3.4000000000000002E-2</v>
      </c>
      <c r="G178" s="31">
        <v>2.9000000000000001E-2</v>
      </c>
      <c r="H178" s="39">
        <v>3.3000000000000002E-2</v>
      </c>
      <c r="I178" s="36">
        <v>3.5000000000000003E-2</v>
      </c>
      <c r="J178" s="19">
        <v>1.4999999999999999E-2</v>
      </c>
      <c r="K178" s="26">
        <v>2.1999999999999999E-2</v>
      </c>
      <c r="L178" s="22">
        <v>3.1E-2</v>
      </c>
      <c r="M178" s="32">
        <v>3.7999999999999999E-2</v>
      </c>
      <c r="N178" s="39">
        <v>3.3000000000000002E-2</v>
      </c>
      <c r="O178" s="18" t="s">
        <v>83</v>
      </c>
    </row>
    <row r="179" spans="2:15" x14ac:dyDescent="0.2">
      <c r="B179" s="127"/>
      <c r="C179" s="19">
        <v>4.2000000000000003E-2</v>
      </c>
      <c r="D179" s="30">
        <v>1.413</v>
      </c>
      <c r="E179" s="39">
        <v>1.117</v>
      </c>
      <c r="F179" s="31">
        <v>0.878</v>
      </c>
      <c r="G179" s="25">
        <v>0.47799999999999998</v>
      </c>
      <c r="H179" s="30">
        <v>1.4279999999999999</v>
      </c>
      <c r="I179" s="25">
        <v>0.52300000000000002</v>
      </c>
      <c r="J179" s="20">
        <v>0.35499999999999998</v>
      </c>
      <c r="K179" s="23">
        <v>0.65</v>
      </c>
      <c r="L179" s="30">
        <v>1.4610000000000001</v>
      </c>
      <c r="M179" s="20">
        <v>0.33700000000000002</v>
      </c>
      <c r="N179" s="19">
        <v>4.2000000000000003E-2</v>
      </c>
      <c r="O179" s="18">
        <v>570</v>
      </c>
    </row>
    <row r="180" spans="2:15" x14ac:dyDescent="0.2">
      <c r="B180" s="128"/>
      <c r="C180" s="27">
        <v>1.2190000000000001</v>
      </c>
      <c r="D180" s="27">
        <v>42.387</v>
      </c>
      <c r="E180" s="27">
        <v>34.655999999999999</v>
      </c>
      <c r="F180" s="27">
        <v>25.504999999999999</v>
      </c>
      <c r="G180" s="27">
        <v>16.553000000000001</v>
      </c>
      <c r="H180" s="27">
        <v>43.575000000000003</v>
      </c>
      <c r="I180" s="27">
        <v>14.957000000000001</v>
      </c>
      <c r="J180" s="27">
        <v>23.64</v>
      </c>
      <c r="K180" s="27">
        <v>30.009</v>
      </c>
      <c r="L180" s="27">
        <v>46.963999999999999</v>
      </c>
      <c r="M180" s="27">
        <v>8.9290000000000003</v>
      </c>
      <c r="N180" s="27">
        <v>1.2509999999999999</v>
      </c>
      <c r="O180" s="18" t="s">
        <v>84</v>
      </c>
    </row>
    <row r="181" spans="2:15" x14ac:dyDescent="0.2">
      <c r="B181" s="126" t="s">
        <v>27</v>
      </c>
      <c r="C181" s="14">
        <v>4.9000000000000002E-2</v>
      </c>
      <c r="D181" s="15">
        <v>0.05</v>
      </c>
      <c r="E181" s="15">
        <v>0.05</v>
      </c>
      <c r="F181" s="29">
        <v>5.6000000000000001E-2</v>
      </c>
      <c r="G181" s="15">
        <v>5.1999999999999998E-2</v>
      </c>
      <c r="H181" s="33">
        <v>5.7000000000000002E-2</v>
      </c>
      <c r="I181" s="28">
        <v>5.1999999999999998E-2</v>
      </c>
      <c r="J181" s="33">
        <v>5.6000000000000001E-2</v>
      </c>
      <c r="K181" s="38">
        <v>7.4999999999999997E-2</v>
      </c>
      <c r="L181" s="15">
        <v>5.0999999999999997E-2</v>
      </c>
      <c r="M181" s="15">
        <v>5.0999999999999997E-2</v>
      </c>
      <c r="N181" s="14">
        <v>0.05</v>
      </c>
      <c r="O181" s="18" t="s">
        <v>81</v>
      </c>
    </row>
    <row r="182" spans="2:15" x14ac:dyDescent="0.2">
      <c r="B182" s="127"/>
      <c r="C182" s="21">
        <v>4.2999999999999997E-2</v>
      </c>
      <c r="D182" s="20">
        <v>4.3999999999999997E-2</v>
      </c>
      <c r="E182" s="20">
        <v>4.5999999999999999E-2</v>
      </c>
      <c r="F182" s="25">
        <v>4.9000000000000002E-2</v>
      </c>
      <c r="G182" s="26">
        <v>4.5999999999999999E-2</v>
      </c>
      <c r="H182" s="23">
        <v>5.1999999999999998E-2</v>
      </c>
      <c r="I182" s="26">
        <v>4.5999999999999999E-2</v>
      </c>
      <c r="J182" s="25">
        <v>4.9000000000000002E-2</v>
      </c>
      <c r="K182" s="37">
        <v>7.0000000000000007E-2</v>
      </c>
      <c r="L182" s="20">
        <v>4.4999999999999998E-2</v>
      </c>
      <c r="M182" s="20">
        <v>4.4999999999999998E-2</v>
      </c>
      <c r="N182" s="20">
        <v>4.3999999999999997E-2</v>
      </c>
      <c r="O182" s="18" t="s">
        <v>82</v>
      </c>
    </row>
    <row r="183" spans="2:15" x14ac:dyDescent="0.2">
      <c r="B183" s="127"/>
      <c r="C183" s="22">
        <v>3.2000000000000001E-2</v>
      </c>
      <c r="D183" s="36">
        <v>3.5000000000000003E-2</v>
      </c>
      <c r="E183" s="24">
        <v>2.7E-2</v>
      </c>
      <c r="F183" s="32">
        <v>3.6999999999999998E-2</v>
      </c>
      <c r="G183" s="22">
        <v>3.2000000000000001E-2</v>
      </c>
      <c r="H183" s="31">
        <v>0.03</v>
      </c>
      <c r="I183" s="39">
        <v>3.3000000000000002E-2</v>
      </c>
      <c r="J183" s="37">
        <v>4.1000000000000002E-2</v>
      </c>
      <c r="K183" s="24">
        <v>2.7E-2</v>
      </c>
      <c r="L183" s="36">
        <v>3.5000000000000003E-2</v>
      </c>
      <c r="M183" s="39">
        <v>3.4000000000000002E-2</v>
      </c>
      <c r="N183" s="39">
        <v>3.4000000000000002E-2</v>
      </c>
      <c r="O183" s="18" t="s">
        <v>83</v>
      </c>
    </row>
    <row r="184" spans="2:15" x14ac:dyDescent="0.2">
      <c r="B184" s="127"/>
      <c r="C184" s="19">
        <v>4.2000000000000003E-2</v>
      </c>
      <c r="D184" s="19">
        <v>6.3E-2</v>
      </c>
      <c r="E184" s="25">
        <v>0.57299999999999995</v>
      </c>
      <c r="F184" s="25">
        <v>0.56100000000000005</v>
      </c>
      <c r="G184" s="26">
        <v>0.46</v>
      </c>
      <c r="H184" s="19">
        <v>8.1000000000000003E-2</v>
      </c>
      <c r="I184" s="31">
        <v>0.84599999999999997</v>
      </c>
      <c r="J184" s="20">
        <v>0.33600000000000002</v>
      </c>
      <c r="K184" s="25">
        <v>0.52900000000000003</v>
      </c>
      <c r="L184" s="19">
        <v>0.06</v>
      </c>
      <c r="M184" s="20">
        <v>0.34599999999999997</v>
      </c>
      <c r="N184" s="19">
        <v>4.1000000000000002E-2</v>
      </c>
      <c r="O184" s="18">
        <v>570</v>
      </c>
    </row>
    <row r="185" spans="2:15" x14ac:dyDescent="0.2">
      <c r="B185" s="128"/>
      <c r="C185" s="27">
        <v>1.3</v>
      </c>
      <c r="D185" s="27">
        <v>1.786</v>
      </c>
      <c r="E185" s="27">
        <v>21.472999999999999</v>
      </c>
      <c r="F185" s="27">
        <v>15.303000000000001</v>
      </c>
      <c r="G185" s="27">
        <v>14.276</v>
      </c>
      <c r="H185" s="27">
        <v>2.6869999999999998</v>
      </c>
      <c r="I185" s="27">
        <v>25.821999999999999</v>
      </c>
      <c r="J185" s="27">
        <v>8.1679999999999993</v>
      </c>
      <c r="K185" s="27">
        <v>19.422000000000001</v>
      </c>
      <c r="L185" s="27">
        <v>1.7230000000000001</v>
      </c>
      <c r="M185" s="27">
        <v>10.048</v>
      </c>
      <c r="N185" s="27">
        <v>1.216</v>
      </c>
      <c r="O185" s="18" t="s">
        <v>84</v>
      </c>
    </row>
    <row r="186" spans="2:15" x14ac:dyDescent="0.2">
      <c r="B186" s="126" t="s">
        <v>35</v>
      </c>
      <c r="C186" s="14">
        <v>4.8000000000000001E-2</v>
      </c>
      <c r="D186" s="33">
        <v>5.7000000000000002E-2</v>
      </c>
      <c r="E186" s="14">
        <v>4.8000000000000001E-2</v>
      </c>
      <c r="F186" s="35">
        <v>6.7000000000000004E-2</v>
      </c>
      <c r="G186" s="28">
        <v>5.3999999999999999E-2</v>
      </c>
      <c r="H186" s="120">
        <v>7.0999999999999994E-2</v>
      </c>
      <c r="I186" s="17">
        <v>6.6000000000000003E-2</v>
      </c>
      <c r="J186" s="14">
        <v>0.05</v>
      </c>
      <c r="K186" s="119">
        <v>6.4000000000000001E-2</v>
      </c>
      <c r="L186" s="118">
        <v>6.2E-2</v>
      </c>
      <c r="M186" s="33">
        <v>5.7000000000000002E-2</v>
      </c>
      <c r="N186" s="15">
        <v>5.1999999999999998E-2</v>
      </c>
      <c r="O186" s="18" t="s">
        <v>81</v>
      </c>
    </row>
    <row r="187" spans="2:15" x14ac:dyDescent="0.2">
      <c r="B187" s="127"/>
      <c r="C187" s="21">
        <v>4.2000000000000003E-2</v>
      </c>
      <c r="D187" s="23">
        <v>5.0999999999999997E-2</v>
      </c>
      <c r="E187" s="21">
        <v>4.2000000000000003E-2</v>
      </c>
      <c r="F187" s="36">
        <v>6.3E-2</v>
      </c>
      <c r="G187" s="25">
        <v>4.9000000000000002E-2</v>
      </c>
      <c r="H187" s="30">
        <v>6.7000000000000004E-2</v>
      </c>
      <c r="I187" s="36">
        <v>6.2E-2</v>
      </c>
      <c r="J187" s="20">
        <v>4.3999999999999997E-2</v>
      </c>
      <c r="K187" s="22">
        <v>5.8000000000000003E-2</v>
      </c>
      <c r="L187" s="31">
        <v>5.6000000000000001E-2</v>
      </c>
      <c r="M187" s="23">
        <v>5.0999999999999997E-2</v>
      </c>
      <c r="N187" s="20">
        <v>4.4999999999999998E-2</v>
      </c>
      <c r="O187" s="18" t="s">
        <v>82</v>
      </c>
    </row>
    <row r="188" spans="2:15" x14ac:dyDescent="0.2">
      <c r="B188" s="127"/>
      <c r="C188" s="31">
        <v>3.1E-2</v>
      </c>
      <c r="D188" s="22">
        <v>3.1E-2</v>
      </c>
      <c r="E188" s="39">
        <v>3.4000000000000002E-2</v>
      </c>
      <c r="F188" s="20">
        <v>2.1000000000000001E-2</v>
      </c>
      <c r="G188" s="24">
        <v>2.8000000000000001E-2</v>
      </c>
      <c r="H188" s="25">
        <v>2.3E-2</v>
      </c>
      <c r="I188" s="23">
        <v>2.5999999999999999E-2</v>
      </c>
      <c r="J188" s="22">
        <v>3.2000000000000001E-2</v>
      </c>
      <c r="K188" s="36">
        <v>3.5000000000000003E-2</v>
      </c>
      <c r="L188" s="22">
        <v>3.2000000000000001E-2</v>
      </c>
      <c r="M188" s="39">
        <v>3.4000000000000002E-2</v>
      </c>
      <c r="N188" s="36">
        <v>3.4000000000000002E-2</v>
      </c>
      <c r="O188" s="18" t="s">
        <v>83</v>
      </c>
    </row>
    <row r="189" spans="2:15" x14ac:dyDescent="0.2">
      <c r="B189" s="127"/>
      <c r="C189" s="19">
        <v>4.1000000000000002E-2</v>
      </c>
      <c r="D189" s="37">
        <v>1.573</v>
      </c>
      <c r="E189" s="19">
        <v>8.2000000000000003E-2</v>
      </c>
      <c r="F189" s="23">
        <v>0.58699999999999997</v>
      </c>
      <c r="G189" s="21">
        <v>0.152</v>
      </c>
      <c r="H189" s="37">
        <v>1.5209999999999999</v>
      </c>
      <c r="I189" s="25">
        <v>0.55600000000000005</v>
      </c>
      <c r="J189" s="19">
        <v>4.2999999999999997E-2</v>
      </c>
      <c r="K189" s="31">
        <v>0.81399999999999995</v>
      </c>
      <c r="L189" s="30">
        <v>1.4119999999999999</v>
      </c>
      <c r="M189" s="39">
        <v>1.123</v>
      </c>
      <c r="N189" s="19">
        <v>4.2999999999999997E-2</v>
      </c>
      <c r="O189" s="18">
        <v>570</v>
      </c>
    </row>
    <row r="190" spans="2:15" x14ac:dyDescent="0.2">
      <c r="B190" s="128"/>
      <c r="C190" s="27">
        <v>1.355</v>
      </c>
      <c r="D190" s="27">
        <v>51.47</v>
      </c>
      <c r="E190" s="27">
        <v>2.411</v>
      </c>
      <c r="F190" s="27">
        <v>28.552</v>
      </c>
      <c r="G190" s="27">
        <v>5.3680000000000003</v>
      </c>
      <c r="H190" s="27">
        <v>65.198999999999998</v>
      </c>
      <c r="I190" s="27">
        <v>21.297000000000001</v>
      </c>
      <c r="J190" s="27">
        <v>1.3440000000000001</v>
      </c>
      <c r="K190" s="27">
        <v>23.257000000000001</v>
      </c>
      <c r="L190" s="27">
        <v>43.811</v>
      </c>
      <c r="M190" s="27">
        <v>33.146999999999998</v>
      </c>
      <c r="N190" s="27">
        <v>1.2629999999999999</v>
      </c>
      <c r="O190" s="18" t="s">
        <v>84</v>
      </c>
    </row>
    <row r="191" spans="2:15" x14ac:dyDescent="0.2">
      <c r="B191" s="126" t="s">
        <v>43</v>
      </c>
      <c r="C191" s="14">
        <v>4.9000000000000002E-2</v>
      </c>
      <c r="D191" s="14">
        <v>4.8000000000000001E-2</v>
      </c>
      <c r="E191" s="15">
        <v>0.05</v>
      </c>
      <c r="F191" s="15">
        <v>5.0999999999999997E-2</v>
      </c>
      <c r="G191" s="15">
        <v>0.05</v>
      </c>
      <c r="H191" s="15">
        <v>5.0999999999999997E-2</v>
      </c>
      <c r="I191" s="28">
        <v>5.3999999999999999E-2</v>
      </c>
      <c r="J191" s="15">
        <v>5.0999999999999997E-2</v>
      </c>
      <c r="K191" s="14">
        <v>0.05</v>
      </c>
      <c r="L191" s="29">
        <v>5.5E-2</v>
      </c>
      <c r="M191" s="118">
        <v>6.2E-2</v>
      </c>
      <c r="N191" s="14">
        <v>4.9000000000000002E-2</v>
      </c>
      <c r="O191" s="18" t="s">
        <v>81</v>
      </c>
    </row>
    <row r="192" spans="2:15" x14ac:dyDescent="0.2">
      <c r="B192" s="127"/>
      <c r="C192" s="21">
        <v>4.2999999999999997E-2</v>
      </c>
      <c r="D192" s="19">
        <v>4.1000000000000002E-2</v>
      </c>
      <c r="E192" s="20">
        <v>4.3999999999999997E-2</v>
      </c>
      <c r="F192" s="20">
        <v>4.4999999999999998E-2</v>
      </c>
      <c r="G192" s="21">
        <v>4.2999999999999997E-2</v>
      </c>
      <c r="H192" s="20">
        <v>4.3999999999999997E-2</v>
      </c>
      <c r="I192" s="26">
        <v>4.7E-2</v>
      </c>
      <c r="J192" s="20">
        <v>4.3999999999999997E-2</v>
      </c>
      <c r="K192" s="21">
        <v>4.2999999999999997E-2</v>
      </c>
      <c r="L192" s="25">
        <v>4.9000000000000002E-2</v>
      </c>
      <c r="M192" s="31">
        <v>5.5E-2</v>
      </c>
      <c r="N192" s="21">
        <v>4.2999999999999997E-2</v>
      </c>
      <c r="O192" s="18" t="s">
        <v>82</v>
      </c>
    </row>
    <row r="193" spans="1:15" x14ac:dyDescent="0.2">
      <c r="B193" s="127"/>
      <c r="C193" s="31">
        <v>2.9000000000000001E-2</v>
      </c>
      <c r="D193" s="32">
        <v>3.6999999999999998E-2</v>
      </c>
      <c r="E193" s="39">
        <v>3.4000000000000002E-2</v>
      </c>
      <c r="F193" s="39">
        <v>3.3000000000000002E-2</v>
      </c>
      <c r="G193" s="32">
        <v>3.6999999999999998E-2</v>
      </c>
      <c r="H193" s="32">
        <v>3.7999999999999999E-2</v>
      </c>
      <c r="I193" s="32">
        <v>3.7999999999999999E-2</v>
      </c>
      <c r="J193" s="37">
        <v>4.2000000000000003E-2</v>
      </c>
      <c r="K193" s="32">
        <v>3.6999999999999998E-2</v>
      </c>
      <c r="L193" s="32">
        <v>3.6999999999999998E-2</v>
      </c>
      <c r="M193" s="32">
        <v>3.6999999999999998E-2</v>
      </c>
      <c r="N193" s="39">
        <v>3.3000000000000002E-2</v>
      </c>
      <c r="O193" s="18" t="s">
        <v>83</v>
      </c>
    </row>
    <row r="194" spans="1:15" x14ac:dyDescent="0.2">
      <c r="B194" s="127"/>
      <c r="C194" s="19">
        <v>4.2000000000000003E-2</v>
      </c>
      <c r="D194" s="19">
        <v>5.7000000000000002E-2</v>
      </c>
      <c r="E194" s="21">
        <v>0.23899999999999999</v>
      </c>
      <c r="F194" s="25">
        <v>0.52800000000000002</v>
      </c>
      <c r="G194" s="19">
        <v>0.108</v>
      </c>
      <c r="H194" s="19">
        <v>6.5000000000000002E-2</v>
      </c>
      <c r="I194" s="25">
        <v>0.48499999999999999</v>
      </c>
      <c r="J194" s="20">
        <v>0.27400000000000002</v>
      </c>
      <c r="K194" s="26">
        <v>0.39</v>
      </c>
      <c r="L194" s="19">
        <v>6.6000000000000003E-2</v>
      </c>
      <c r="M194" s="22">
        <v>0.91800000000000004</v>
      </c>
      <c r="N194" s="19">
        <v>4.2000000000000003E-2</v>
      </c>
      <c r="O194" s="18">
        <v>570</v>
      </c>
    </row>
    <row r="195" spans="1:15" x14ac:dyDescent="0.2">
      <c r="B195" s="128"/>
      <c r="C195" s="27">
        <v>1.4430000000000001</v>
      </c>
      <c r="D195" s="27">
        <v>1.5209999999999999</v>
      </c>
      <c r="E195" s="27">
        <v>7.05</v>
      </c>
      <c r="F195" s="27">
        <v>16.096</v>
      </c>
      <c r="G195" s="27">
        <v>2.9430000000000001</v>
      </c>
      <c r="H195" s="27">
        <v>1.7310000000000001</v>
      </c>
      <c r="I195" s="27">
        <v>12.833</v>
      </c>
      <c r="J195" s="27">
        <v>6.4969999999999999</v>
      </c>
      <c r="K195" s="27">
        <v>10.472</v>
      </c>
      <c r="L195" s="27">
        <v>1.792</v>
      </c>
      <c r="M195" s="27">
        <v>25.027999999999999</v>
      </c>
      <c r="N195" s="27">
        <v>1.2809999999999999</v>
      </c>
      <c r="O195" s="18" t="s">
        <v>84</v>
      </c>
    </row>
    <row r="196" spans="1:15" x14ac:dyDescent="0.2">
      <c r="B196" s="126" t="s">
        <v>51</v>
      </c>
      <c r="C196" s="16">
        <v>4.7E-2</v>
      </c>
      <c r="D196" s="14">
        <v>0.05</v>
      </c>
      <c r="E196" s="14">
        <v>4.8000000000000001E-2</v>
      </c>
      <c r="F196" s="14">
        <v>4.9000000000000002E-2</v>
      </c>
      <c r="G196" s="15">
        <v>5.0999999999999997E-2</v>
      </c>
      <c r="H196" s="15">
        <v>0.05</v>
      </c>
      <c r="I196" s="15">
        <v>0.05</v>
      </c>
      <c r="J196" s="14">
        <v>4.9000000000000002E-2</v>
      </c>
      <c r="K196" s="34">
        <v>5.8999999999999997E-2</v>
      </c>
      <c r="L196" s="14">
        <v>4.9000000000000002E-2</v>
      </c>
      <c r="M196" s="15">
        <v>0.05</v>
      </c>
      <c r="N196" s="28">
        <v>5.1999999999999998E-2</v>
      </c>
      <c r="O196" s="18" t="s">
        <v>81</v>
      </c>
    </row>
    <row r="197" spans="1:15" x14ac:dyDescent="0.2">
      <c r="B197" s="127"/>
      <c r="C197" s="19">
        <v>4.1000000000000002E-2</v>
      </c>
      <c r="D197" s="20">
        <v>4.3999999999999997E-2</v>
      </c>
      <c r="E197" s="19">
        <v>4.1000000000000002E-2</v>
      </c>
      <c r="F197" s="21">
        <v>4.2999999999999997E-2</v>
      </c>
      <c r="G197" s="20">
        <v>4.4999999999999998E-2</v>
      </c>
      <c r="H197" s="20">
        <v>4.3999999999999997E-2</v>
      </c>
      <c r="I197" s="20">
        <v>4.3999999999999997E-2</v>
      </c>
      <c r="J197" s="21">
        <v>4.2999999999999997E-2</v>
      </c>
      <c r="K197" s="24">
        <v>5.2999999999999999E-2</v>
      </c>
      <c r="L197" s="21">
        <v>4.2999999999999997E-2</v>
      </c>
      <c r="M197" s="21">
        <v>4.3999999999999997E-2</v>
      </c>
      <c r="N197" s="20">
        <v>4.5999999999999999E-2</v>
      </c>
      <c r="O197" s="18" t="s">
        <v>82</v>
      </c>
    </row>
    <row r="198" spans="1:15" x14ac:dyDescent="0.2">
      <c r="B198" s="127"/>
      <c r="C198" s="22">
        <v>3.1E-2</v>
      </c>
      <c r="D198" s="39">
        <v>3.3000000000000002E-2</v>
      </c>
      <c r="E198" s="32">
        <v>3.7999999999999999E-2</v>
      </c>
      <c r="F198" s="31">
        <v>3.1E-2</v>
      </c>
      <c r="G198" s="39">
        <v>3.3000000000000002E-2</v>
      </c>
      <c r="H198" s="39">
        <v>3.4000000000000002E-2</v>
      </c>
      <c r="I198" s="39">
        <v>3.4000000000000002E-2</v>
      </c>
      <c r="J198" s="36">
        <v>3.4000000000000002E-2</v>
      </c>
      <c r="K198" s="36">
        <v>3.4000000000000002E-2</v>
      </c>
      <c r="L198" s="39">
        <v>3.4000000000000002E-2</v>
      </c>
      <c r="M198" s="36">
        <v>3.5999999999999997E-2</v>
      </c>
      <c r="N198" s="36">
        <v>3.5000000000000003E-2</v>
      </c>
      <c r="O198" s="18" t="s">
        <v>83</v>
      </c>
    </row>
    <row r="199" spans="1:15" x14ac:dyDescent="0.2">
      <c r="B199" s="127"/>
      <c r="C199" s="19">
        <v>4.1000000000000002E-2</v>
      </c>
      <c r="D199" s="19">
        <v>0.04</v>
      </c>
      <c r="E199" s="19">
        <v>4.1000000000000002E-2</v>
      </c>
      <c r="F199" s="19">
        <v>0.04</v>
      </c>
      <c r="G199" s="19">
        <v>4.2999999999999997E-2</v>
      </c>
      <c r="H199" s="19">
        <v>4.1000000000000002E-2</v>
      </c>
      <c r="I199" s="19">
        <v>4.1000000000000002E-2</v>
      </c>
      <c r="J199" s="19">
        <v>4.1000000000000002E-2</v>
      </c>
      <c r="K199" s="19">
        <v>5.0999999999999997E-2</v>
      </c>
      <c r="L199" s="19">
        <v>4.1000000000000002E-2</v>
      </c>
      <c r="M199" s="19">
        <v>4.1000000000000002E-2</v>
      </c>
      <c r="N199" s="19">
        <v>4.2000000000000003E-2</v>
      </c>
      <c r="O199" s="18">
        <v>570</v>
      </c>
    </row>
    <row r="200" spans="1:15" x14ac:dyDescent="0.2">
      <c r="B200" s="128"/>
      <c r="C200" s="27">
        <v>1.3280000000000001</v>
      </c>
      <c r="D200" s="27">
        <v>1.2290000000000001</v>
      </c>
      <c r="E200" s="27">
        <v>1.075</v>
      </c>
      <c r="F200" s="27">
        <v>1.3089999999999999</v>
      </c>
      <c r="G200" s="27">
        <v>1.2989999999999999</v>
      </c>
      <c r="H200" s="27">
        <v>1.222</v>
      </c>
      <c r="I200" s="27">
        <v>1.1870000000000001</v>
      </c>
      <c r="J200" s="27">
        <v>1.1930000000000001</v>
      </c>
      <c r="K200" s="27">
        <v>1.4750000000000001</v>
      </c>
      <c r="L200" s="27">
        <v>1.2130000000000001</v>
      </c>
      <c r="M200" s="27">
        <v>1.159</v>
      </c>
      <c r="N200" s="27">
        <v>1.2110000000000001</v>
      </c>
      <c r="O200" s="18" t="s">
        <v>84</v>
      </c>
    </row>
    <row r="203" spans="1:15" x14ac:dyDescent="0.2">
      <c r="A203" t="s">
        <v>53</v>
      </c>
      <c r="B203" t="s">
        <v>54</v>
      </c>
      <c r="D203" s="7" t="s">
        <v>52</v>
      </c>
      <c r="E203" s="40">
        <v>45364</v>
      </c>
      <c r="F203" s="7" t="s">
        <v>59</v>
      </c>
    </row>
    <row r="205" spans="1:15" x14ac:dyDescent="0.2">
      <c r="A205" t="s">
        <v>55</v>
      </c>
    </row>
    <row r="206" spans="1:15" x14ac:dyDescent="0.2">
      <c r="A206" t="s">
        <v>56</v>
      </c>
      <c r="B206" t="s">
        <v>57</v>
      </c>
    </row>
    <row r="207" spans="1:15" x14ac:dyDescent="0.2">
      <c r="A207" t="s">
        <v>58</v>
      </c>
      <c r="B207" t="s">
        <v>59</v>
      </c>
    </row>
    <row r="208" spans="1:15" x14ac:dyDescent="0.2">
      <c r="A208" t="s">
        <v>60</v>
      </c>
      <c r="B208" s="8">
        <v>45364</v>
      </c>
    </row>
    <row r="209" spans="1:2" x14ac:dyDescent="0.2">
      <c r="A209" t="s">
        <v>61</v>
      </c>
      <c r="B209" s="9">
        <v>0.64165509259259257</v>
      </c>
    </row>
    <row r="210" spans="1:2" x14ac:dyDescent="0.2">
      <c r="A210" t="s">
        <v>62</v>
      </c>
      <c r="B210" t="s">
        <v>63</v>
      </c>
    </row>
    <row r="211" spans="1:2" x14ac:dyDescent="0.2">
      <c r="A211" t="s">
        <v>64</v>
      </c>
      <c r="B211" t="s">
        <v>65</v>
      </c>
    </row>
    <row r="212" spans="1:2" x14ac:dyDescent="0.2">
      <c r="A212" t="s">
        <v>66</v>
      </c>
      <c r="B212" t="s">
        <v>67</v>
      </c>
    </row>
    <row r="214" spans="1:2" x14ac:dyDescent="0.2">
      <c r="A214" s="10" t="s">
        <v>68</v>
      </c>
      <c r="B214" s="11"/>
    </row>
    <row r="215" spans="1:2" x14ac:dyDescent="0.2">
      <c r="A215" t="s">
        <v>69</v>
      </c>
      <c r="B215" t="s">
        <v>70</v>
      </c>
    </row>
    <row r="216" spans="1:2" x14ac:dyDescent="0.2">
      <c r="A216" t="s">
        <v>71</v>
      </c>
    </row>
    <row r="217" spans="1:2" x14ac:dyDescent="0.2">
      <c r="A217" t="s">
        <v>72</v>
      </c>
      <c r="B217" t="s">
        <v>73</v>
      </c>
    </row>
    <row r="218" spans="1:2" x14ac:dyDescent="0.2">
      <c r="B218" t="s">
        <v>74</v>
      </c>
    </row>
    <row r="219" spans="1:2" x14ac:dyDescent="0.2">
      <c r="B219" t="s">
        <v>75</v>
      </c>
    </row>
    <row r="220" spans="1:2" x14ac:dyDescent="0.2">
      <c r="B220" t="s">
        <v>76</v>
      </c>
    </row>
    <row r="221" spans="1:2" x14ac:dyDescent="0.2">
      <c r="B221" t="s">
        <v>77</v>
      </c>
    </row>
    <row r="222" spans="1:2" x14ac:dyDescent="0.2">
      <c r="B222" t="s">
        <v>78</v>
      </c>
    </row>
    <row r="224" spans="1:2" x14ac:dyDescent="0.2">
      <c r="A224" s="10" t="s">
        <v>79</v>
      </c>
      <c r="B224" s="11"/>
    </row>
    <row r="225" spans="1:15" x14ac:dyDescent="0.2">
      <c r="A225" t="s">
        <v>80</v>
      </c>
      <c r="B225">
        <v>20.8</v>
      </c>
    </row>
    <row r="227" spans="1:15" x14ac:dyDescent="0.2">
      <c r="B227" s="12"/>
      <c r="C227" s="13">
        <v>1</v>
      </c>
      <c r="D227" s="13">
        <v>2</v>
      </c>
      <c r="E227" s="13">
        <v>3</v>
      </c>
      <c r="F227" s="13">
        <v>4</v>
      </c>
      <c r="G227" s="13">
        <v>5</v>
      </c>
      <c r="H227" s="13">
        <v>6</v>
      </c>
      <c r="I227" s="13">
        <v>7</v>
      </c>
      <c r="J227" s="13">
        <v>8</v>
      </c>
      <c r="K227" s="13">
        <v>9</v>
      </c>
      <c r="L227" s="13">
        <v>10</v>
      </c>
      <c r="M227" s="13">
        <v>11</v>
      </c>
      <c r="N227" s="13">
        <v>12</v>
      </c>
    </row>
    <row r="228" spans="1:15" x14ac:dyDescent="0.2">
      <c r="B228" s="126" t="s">
        <v>0</v>
      </c>
      <c r="C228" s="14">
        <v>4.9000000000000002E-2</v>
      </c>
      <c r="D228" s="14">
        <v>0.05</v>
      </c>
      <c r="E228" s="15">
        <v>5.0999999999999997E-2</v>
      </c>
      <c r="F228" s="15">
        <v>5.0999999999999997E-2</v>
      </c>
      <c r="G228" s="16">
        <v>4.7E-2</v>
      </c>
      <c r="H228" s="14">
        <v>4.9000000000000002E-2</v>
      </c>
      <c r="I228" s="16">
        <v>4.8000000000000001E-2</v>
      </c>
      <c r="J228" s="16">
        <v>4.8000000000000001E-2</v>
      </c>
      <c r="K228" s="17">
        <v>6.2E-2</v>
      </c>
      <c r="L228" s="16">
        <v>4.8000000000000001E-2</v>
      </c>
      <c r="M228" s="16">
        <v>4.8000000000000001E-2</v>
      </c>
      <c r="N228" s="14">
        <v>4.9000000000000002E-2</v>
      </c>
      <c r="O228" s="18" t="s">
        <v>81</v>
      </c>
    </row>
    <row r="229" spans="1:15" x14ac:dyDescent="0.2">
      <c r="B229" s="127"/>
      <c r="C229" s="19">
        <v>4.2999999999999997E-2</v>
      </c>
      <c r="D229" s="19">
        <v>4.2999999999999997E-2</v>
      </c>
      <c r="E229" s="20">
        <v>4.4999999999999998E-2</v>
      </c>
      <c r="F229" s="21">
        <v>4.4999999999999998E-2</v>
      </c>
      <c r="G229" s="19">
        <v>4.2000000000000003E-2</v>
      </c>
      <c r="H229" s="19">
        <v>4.2999999999999997E-2</v>
      </c>
      <c r="I229" s="19">
        <v>4.2000000000000003E-2</v>
      </c>
      <c r="J229" s="19">
        <v>4.2000000000000003E-2</v>
      </c>
      <c r="K229" s="22">
        <v>5.7000000000000002E-2</v>
      </c>
      <c r="L229" s="19">
        <v>4.2000000000000003E-2</v>
      </c>
      <c r="M229" s="19">
        <v>4.2999999999999997E-2</v>
      </c>
      <c r="N229" s="19">
        <v>4.2999999999999997E-2</v>
      </c>
      <c r="O229" s="18" t="s">
        <v>82</v>
      </c>
    </row>
    <row r="230" spans="1:15" x14ac:dyDescent="0.2">
      <c r="B230" s="127"/>
      <c r="C230" s="23">
        <v>3.5999999999999997E-2</v>
      </c>
      <c r="D230" s="24">
        <v>3.6999999999999998E-2</v>
      </c>
      <c r="E230" s="25">
        <v>3.1E-2</v>
      </c>
      <c r="F230" s="24">
        <v>3.5999999999999997E-2</v>
      </c>
      <c r="G230" s="26">
        <v>2.9000000000000001E-2</v>
      </c>
      <c r="H230" s="25">
        <v>3.2000000000000001E-2</v>
      </c>
      <c r="I230" s="25">
        <v>3.2000000000000001E-2</v>
      </c>
      <c r="J230" s="25">
        <v>0.03</v>
      </c>
      <c r="K230" s="20">
        <v>2.4E-2</v>
      </c>
      <c r="L230" s="23">
        <v>3.3000000000000002E-2</v>
      </c>
      <c r="M230" s="25">
        <v>3.1E-2</v>
      </c>
      <c r="N230" s="26">
        <v>2.8000000000000001E-2</v>
      </c>
      <c r="O230" s="18" t="s">
        <v>83</v>
      </c>
    </row>
    <row r="231" spans="1:15" x14ac:dyDescent="0.2">
      <c r="B231" s="127"/>
      <c r="C231" s="19">
        <v>4.1000000000000002E-2</v>
      </c>
      <c r="D231" s="19">
        <v>4.2000000000000003E-2</v>
      </c>
      <c r="E231" s="19">
        <v>4.4999999999999998E-2</v>
      </c>
      <c r="F231" s="19">
        <v>4.2999999999999997E-2</v>
      </c>
      <c r="G231" s="19">
        <v>4.1000000000000002E-2</v>
      </c>
      <c r="H231" s="19">
        <v>4.2000000000000003E-2</v>
      </c>
      <c r="I231" s="19">
        <v>4.1000000000000002E-2</v>
      </c>
      <c r="J231" s="19">
        <v>4.1000000000000002E-2</v>
      </c>
      <c r="K231" s="19">
        <v>5.8999999999999997E-2</v>
      </c>
      <c r="L231" s="19">
        <v>4.2999999999999997E-2</v>
      </c>
      <c r="M231" s="19">
        <v>4.1000000000000002E-2</v>
      </c>
      <c r="N231" s="19">
        <v>4.3999999999999997E-2</v>
      </c>
      <c r="O231" s="18">
        <v>570</v>
      </c>
    </row>
    <row r="232" spans="1:15" x14ac:dyDescent="0.2">
      <c r="B232" s="128"/>
      <c r="C232" s="27">
        <v>1.159</v>
      </c>
      <c r="D232" s="27">
        <v>1.1279999999999999</v>
      </c>
      <c r="E232" s="27">
        <v>1.456</v>
      </c>
      <c r="F232" s="27">
        <v>1.18</v>
      </c>
      <c r="G232" s="27">
        <v>1.4330000000000001</v>
      </c>
      <c r="H232" s="27">
        <v>1.288</v>
      </c>
      <c r="I232" s="27">
        <v>1.2689999999999999</v>
      </c>
      <c r="J232" s="27">
        <v>1.377</v>
      </c>
      <c r="K232" s="27">
        <v>2.4340000000000002</v>
      </c>
      <c r="L232" s="27">
        <v>1.327</v>
      </c>
      <c r="M232" s="27">
        <v>1.339</v>
      </c>
      <c r="N232" s="27">
        <v>1.542</v>
      </c>
      <c r="O232" s="18" t="s">
        <v>84</v>
      </c>
    </row>
    <row r="233" spans="1:15" x14ac:dyDescent="0.2">
      <c r="B233" s="126" t="s">
        <v>1</v>
      </c>
      <c r="C233" s="16">
        <v>4.7E-2</v>
      </c>
      <c r="D233" s="28">
        <v>5.2999999999999999E-2</v>
      </c>
      <c r="E233" s="15">
        <v>5.0999999999999997E-2</v>
      </c>
      <c r="F233" s="16">
        <v>4.8000000000000001E-2</v>
      </c>
      <c r="G233" s="16">
        <v>4.8000000000000001E-2</v>
      </c>
      <c r="H233" s="29">
        <v>5.3999999999999999E-2</v>
      </c>
      <c r="I233" s="15">
        <v>5.0999999999999997E-2</v>
      </c>
      <c r="J233" s="15">
        <v>5.1999999999999998E-2</v>
      </c>
      <c r="K233" s="14">
        <v>4.9000000000000002E-2</v>
      </c>
      <c r="L233" s="15">
        <v>5.0999999999999997E-2</v>
      </c>
      <c r="M233" s="14">
        <v>4.9000000000000002E-2</v>
      </c>
      <c r="N233" s="14">
        <v>4.9000000000000002E-2</v>
      </c>
      <c r="O233" s="18" t="s">
        <v>81</v>
      </c>
    </row>
    <row r="234" spans="1:15" x14ac:dyDescent="0.2">
      <c r="B234" s="127"/>
      <c r="C234" s="19">
        <v>4.2000000000000003E-2</v>
      </c>
      <c r="D234" s="20">
        <v>4.7E-2</v>
      </c>
      <c r="E234" s="21">
        <v>4.4999999999999998E-2</v>
      </c>
      <c r="F234" s="19">
        <v>4.2999999999999997E-2</v>
      </c>
      <c r="G234" s="19">
        <v>4.2999999999999997E-2</v>
      </c>
      <c r="H234" s="26">
        <v>4.8000000000000001E-2</v>
      </c>
      <c r="I234" s="21">
        <v>4.3999999999999997E-2</v>
      </c>
      <c r="J234" s="20">
        <v>4.5999999999999999E-2</v>
      </c>
      <c r="K234" s="19">
        <v>4.2999999999999997E-2</v>
      </c>
      <c r="L234" s="21">
        <v>4.4999999999999998E-2</v>
      </c>
      <c r="M234" s="19">
        <v>4.2000000000000003E-2</v>
      </c>
      <c r="N234" s="19">
        <v>4.3999999999999997E-2</v>
      </c>
      <c r="O234" s="18" t="s">
        <v>82</v>
      </c>
    </row>
    <row r="235" spans="1:15" x14ac:dyDescent="0.2">
      <c r="B235" s="127"/>
      <c r="C235" s="26">
        <v>2.8000000000000001E-2</v>
      </c>
      <c r="D235" s="23">
        <v>3.3000000000000002E-2</v>
      </c>
      <c r="E235" s="25">
        <v>3.1E-2</v>
      </c>
      <c r="F235" s="26">
        <v>2.8000000000000001E-2</v>
      </c>
      <c r="G235" s="25">
        <v>3.2000000000000001E-2</v>
      </c>
      <c r="H235" s="25">
        <v>3.2000000000000001E-2</v>
      </c>
      <c r="I235" s="24">
        <v>3.6999999999999998E-2</v>
      </c>
      <c r="J235" s="25">
        <v>3.2000000000000001E-2</v>
      </c>
      <c r="K235" s="23">
        <v>3.3000000000000002E-2</v>
      </c>
      <c r="L235" s="25">
        <v>0.03</v>
      </c>
      <c r="M235" s="23">
        <v>3.4000000000000002E-2</v>
      </c>
      <c r="N235" s="25">
        <v>3.2000000000000001E-2</v>
      </c>
      <c r="O235" s="18" t="s">
        <v>83</v>
      </c>
    </row>
    <row r="236" spans="1:15" x14ac:dyDescent="0.2">
      <c r="B236" s="127"/>
      <c r="C236" s="19">
        <v>4.2000000000000003E-2</v>
      </c>
      <c r="D236" s="30">
        <v>1.373</v>
      </c>
      <c r="E236" s="31">
        <v>0.82499999999999996</v>
      </c>
      <c r="F236" s="19">
        <v>6.5000000000000002E-2</v>
      </c>
      <c r="G236" s="19">
        <v>0.14000000000000001</v>
      </c>
      <c r="H236" s="30">
        <v>1.31</v>
      </c>
      <c r="I236" s="21">
        <v>0.221</v>
      </c>
      <c r="J236" s="21">
        <v>0.18</v>
      </c>
      <c r="K236" s="20">
        <v>0.28000000000000003</v>
      </c>
      <c r="L236" s="32">
        <v>1.212</v>
      </c>
      <c r="M236" s="21">
        <v>0.14599999999999999</v>
      </c>
      <c r="N236" s="19">
        <v>4.1000000000000002E-2</v>
      </c>
      <c r="O236" s="18">
        <v>570</v>
      </c>
    </row>
    <row r="237" spans="1:15" x14ac:dyDescent="0.2">
      <c r="B237" s="128"/>
      <c r="C237" s="27">
        <v>1.5189999999999999</v>
      </c>
      <c r="D237" s="27">
        <v>41.9</v>
      </c>
      <c r="E237" s="27">
        <v>26.518000000000001</v>
      </c>
      <c r="F237" s="27">
        <v>2.3439999999999999</v>
      </c>
      <c r="G237" s="27">
        <v>4.351</v>
      </c>
      <c r="H237" s="27">
        <v>41.356000000000002</v>
      </c>
      <c r="I237" s="27">
        <v>5.9480000000000004</v>
      </c>
      <c r="J237" s="27">
        <v>5.694</v>
      </c>
      <c r="K237" s="27">
        <v>8.5359999999999996</v>
      </c>
      <c r="L237" s="27">
        <v>40.409999999999997</v>
      </c>
      <c r="M237" s="27">
        <v>4.3109999999999999</v>
      </c>
      <c r="N237" s="27">
        <v>1.298</v>
      </c>
      <c r="O237" s="18" t="s">
        <v>84</v>
      </c>
    </row>
    <row r="238" spans="1:15" x14ac:dyDescent="0.2">
      <c r="B238" s="126" t="s">
        <v>10</v>
      </c>
      <c r="C238" s="14">
        <v>4.9000000000000002E-2</v>
      </c>
      <c r="D238" s="15">
        <v>5.0999999999999997E-2</v>
      </c>
      <c r="E238" s="33">
        <v>5.5E-2</v>
      </c>
      <c r="F238" s="15">
        <v>0.05</v>
      </c>
      <c r="G238" s="28">
        <v>5.1999999999999998E-2</v>
      </c>
      <c r="H238" s="15">
        <v>0.05</v>
      </c>
      <c r="I238" s="28">
        <v>5.2999999999999999E-2</v>
      </c>
      <c r="J238" s="14">
        <v>0.05</v>
      </c>
      <c r="K238" s="14">
        <v>4.9000000000000002E-2</v>
      </c>
      <c r="L238" s="14">
        <v>4.9000000000000002E-2</v>
      </c>
      <c r="M238" s="15">
        <v>0.05</v>
      </c>
      <c r="N238" s="14">
        <v>4.9000000000000002E-2</v>
      </c>
      <c r="O238" s="18" t="s">
        <v>81</v>
      </c>
    </row>
    <row r="239" spans="1:15" x14ac:dyDescent="0.2">
      <c r="B239" s="127"/>
      <c r="C239" s="19">
        <v>4.2999999999999997E-2</v>
      </c>
      <c r="D239" s="21">
        <v>4.4999999999999998E-2</v>
      </c>
      <c r="E239" s="23">
        <v>5.1999999999999998E-2</v>
      </c>
      <c r="F239" s="21">
        <v>4.4999999999999998E-2</v>
      </c>
      <c r="G239" s="20">
        <v>4.5999999999999999E-2</v>
      </c>
      <c r="H239" s="21">
        <v>4.3999999999999997E-2</v>
      </c>
      <c r="I239" s="20">
        <v>4.7E-2</v>
      </c>
      <c r="J239" s="21">
        <v>4.4999999999999998E-2</v>
      </c>
      <c r="K239" s="21">
        <v>4.3999999999999997E-2</v>
      </c>
      <c r="L239" s="21">
        <v>4.3999999999999997E-2</v>
      </c>
      <c r="M239" s="19">
        <v>4.3999999999999997E-2</v>
      </c>
      <c r="N239" s="19">
        <v>4.2999999999999997E-2</v>
      </c>
      <c r="O239" s="18" t="s">
        <v>82</v>
      </c>
    </row>
    <row r="240" spans="1:15" x14ac:dyDescent="0.2">
      <c r="B240" s="127"/>
      <c r="C240" s="25">
        <v>3.1E-2</v>
      </c>
      <c r="D240" s="25">
        <v>3.2000000000000001E-2</v>
      </c>
      <c r="E240" s="19">
        <v>1.9E-2</v>
      </c>
      <c r="F240" s="25">
        <v>3.1E-2</v>
      </c>
      <c r="G240" s="23">
        <v>3.4000000000000002E-2</v>
      </c>
      <c r="H240" s="23">
        <v>3.3000000000000002E-2</v>
      </c>
      <c r="I240" s="23">
        <v>3.4000000000000002E-2</v>
      </c>
      <c r="J240" s="26">
        <v>2.8000000000000001E-2</v>
      </c>
      <c r="K240" s="20">
        <v>2.5999999999999999E-2</v>
      </c>
      <c r="L240" s="26">
        <v>2.8000000000000001E-2</v>
      </c>
      <c r="M240" s="24">
        <v>3.6999999999999998E-2</v>
      </c>
      <c r="N240" s="23">
        <v>3.3000000000000002E-2</v>
      </c>
      <c r="O240" s="18" t="s">
        <v>83</v>
      </c>
    </row>
    <row r="241" spans="2:15" x14ac:dyDescent="0.2">
      <c r="B241" s="127"/>
      <c r="C241" s="19">
        <v>4.1000000000000002E-2</v>
      </c>
      <c r="D241" s="19">
        <v>7.4999999999999997E-2</v>
      </c>
      <c r="E241" s="31">
        <v>0.878</v>
      </c>
      <c r="F241" s="26">
        <v>0.40500000000000003</v>
      </c>
      <c r="G241" s="26">
        <v>0.42</v>
      </c>
      <c r="H241" s="19">
        <v>7.4999999999999997E-2</v>
      </c>
      <c r="I241" s="19">
        <v>0.06</v>
      </c>
      <c r="J241" s="20">
        <v>0.26800000000000002</v>
      </c>
      <c r="K241" s="19">
        <v>0.14099999999999999</v>
      </c>
      <c r="L241" s="19">
        <v>5.8999999999999997E-2</v>
      </c>
      <c r="M241" s="26">
        <v>0.4</v>
      </c>
      <c r="N241" s="19">
        <v>4.2000000000000003E-2</v>
      </c>
      <c r="O241" s="18">
        <v>570</v>
      </c>
    </row>
    <row r="242" spans="2:15" x14ac:dyDescent="0.2">
      <c r="B242" s="128"/>
      <c r="C242" s="27">
        <v>1.3240000000000001</v>
      </c>
      <c r="D242" s="27">
        <v>2.3340000000000001</v>
      </c>
      <c r="E242" s="27">
        <v>45.139000000000003</v>
      </c>
      <c r="F242" s="27">
        <v>13.007999999999999</v>
      </c>
      <c r="G242" s="27">
        <v>12.182</v>
      </c>
      <c r="H242" s="27">
        <v>2.2759999999999998</v>
      </c>
      <c r="I242" s="27">
        <v>1.768</v>
      </c>
      <c r="J242" s="27">
        <v>9.6590000000000007</v>
      </c>
      <c r="K242" s="27">
        <v>5.4</v>
      </c>
      <c r="L242" s="27">
        <v>2.0649999999999999</v>
      </c>
      <c r="M242" s="27">
        <v>10.744</v>
      </c>
      <c r="N242" s="27">
        <v>1.266</v>
      </c>
      <c r="O242" s="18" t="s">
        <v>84</v>
      </c>
    </row>
    <row r="243" spans="2:15" x14ac:dyDescent="0.2">
      <c r="B243" s="126" t="s">
        <v>19</v>
      </c>
      <c r="C243" s="14">
        <v>0.05</v>
      </c>
      <c r="D243" s="34">
        <v>5.7000000000000002E-2</v>
      </c>
      <c r="E243" s="29">
        <v>5.5E-2</v>
      </c>
      <c r="F243" s="29">
        <v>5.2999999999999999E-2</v>
      </c>
      <c r="G243" s="29">
        <v>5.5E-2</v>
      </c>
      <c r="H243" s="34">
        <v>5.7000000000000002E-2</v>
      </c>
      <c r="I243" s="15">
        <v>0.05</v>
      </c>
      <c r="J243" s="28">
        <v>5.1999999999999998E-2</v>
      </c>
      <c r="K243" s="28">
        <v>5.1999999999999998E-2</v>
      </c>
      <c r="L243" s="33">
        <v>5.5E-2</v>
      </c>
      <c r="M243" s="15">
        <v>5.0999999999999997E-2</v>
      </c>
      <c r="N243" s="14">
        <v>4.9000000000000002E-2</v>
      </c>
      <c r="O243" s="18" t="s">
        <v>81</v>
      </c>
    </row>
    <row r="244" spans="2:15" x14ac:dyDescent="0.2">
      <c r="B244" s="127"/>
      <c r="C244" s="21">
        <v>4.3999999999999997E-2</v>
      </c>
      <c r="D244" s="25">
        <v>0.05</v>
      </c>
      <c r="E244" s="26">
        <v>4.9000000000000002E-2</v>
      </c>
      <c r="F244" s="20">
        <v>4.7E-2</v>
      </c>
      <c r="G244" s="25">
        <v>4.9000000000000002E-2</v>
      </c>
      <c r="H244" s="23">
        <v>5.1999999999999998E-2</v>
      </c>
      <c r="I244" s="21">
        <v>4.4999999999999998E-2</v>
      </c>
      <c r="J244" s="20">
        <v>4.5999999999999999E-2</v>
      </c>
      <c r="K244" s="20">
        <v>4.7E-2</v>
      </c>
      <c r="L244" s="25">
        <v>0.05</v>
      </c>
      <c r="M244" s="21">
        <v>4.3999999999999997E-2</v>
      </c>
      <c r="N244" s="19">
        <v>4.3999999999999997E-2</v>
      </c>
      <c r="O244" s="18" t="s">
        <v>82</v>
      </c>
    </row>
    <row r="245" spans="2:15" x14ac:dyDescent="0.2">
      <c r="B245" s="127"/>
      <c r="C245" s="23">
        <v>3.3000000000000002E-2</v>
      </c>
      <c r="D245" s="23">
        <v>3.5000000000000003E-2</v>
      </c>
      <c r="E245" s="23">
        <v>3.3000000000000002E-2</v>
      </c>
      <c r="F245" s="24">
        <v>3.6999999999999998E-2</v>
      </c>
      <c r="G245" s="25">
        <v>3.2000000000000001E-2</v>
      </c>
      <c r="H245" s="25">
        <v>2.9000000000000001E-2</v>
      </c>
      <c r="I245" s="26">
        <v>2.9000000000000001E-2</v>
      </c>
      <c r="J245" s="25">
        <v>3.1E-2</v>
      </c>
      <c r="K245" s="25">
        <v>0.03</v>
      </c>
      <c r="L245" s="25">
        <v>3.1E-2</v>
      </c>
      <c r="M245" s="24">
        <v>3.6999999999999998E-2</v>
      </c>
      <c r="N245" s="25">
        <v>3.2000000000000001E-2</v>
      </c>
      <c r="O245" s="18" t="s">
        <v>83</v>
      </c>
    </row>
    <row r="246" spans="2:15" x14ac:dyDescent="0.2">
      <c r="B246" s="127"/>
      <c r="C246" s="19">
        <v>4.1000000000000002E-2</v>
      </c>
      <c r="D246" s="30">
        <v>1.327</v>
      </c>
      <c r="E246" s="31">
        <v>0.82399999999999995</v>
      </c>
      <c r="F246" s="31">
        <v>0.81599999999999995</v>
      </c>
      <c r="G246" s="25">
        <v>0.47799999999999998</v>
      </c>
      <c r="H246" s="30">
        <v>1.387</v>
      </c>
      <c r="I246" s="25">
        <v>0.48399999999999999</v>
      </c>
      <c r="J246" s="20">
        <v>0.30599999999999999</v>
      </c>
      <c r="K246" s="23">
        <v>0.57199999999999995</v>
      </c>
      <c r="L246" s="30">
        <v>1.3129999999999999</v>
      </c>
      <c r="M246" s="20">
        <v>0.34799999999999998</v>
      </c>
      <c r="N246" s="19">
        <v>4.2000000000000003E-2</v>
      </c>
      <c r="O246" s="18">
        <v>570</v>
      </c>
    </row>
    <row r="247" spans="2:15" x14ac:dyDescent="0.2">
      <c r="B247" s="128"/>
      <c r="C247" s="27">
        <v>1.26</v>
      </c>
      <c r="D247" s="27">
        <v>37.914000000000001</v>
      </c>
      <c r="E247" s="27">
        <v>24.707999999999998</v>
      </c>
      <c r="F247" s="27">
        <v>22.241</v>
      </c>
      <c r="G247" s="27">
        <v>14.843999999999999</v>
      </c>
      <c r="H247" s="27">
        <v>47.116</v>
      </c>
      <c r="I247" s="27">
        <v>16.763999999999999</v>
      </c>
      <c r="J247" s="27">
        <v>9.8420000000000005</v>
      </c>
      <c r="K247" s="27">
        <v>19.073</v>
      </c>
      <c r="L247" s="27">
        <v>42.216000000000001</v>
      </c>
      <c r="M247" s="27">
        <v>9.3629999999999995</v>
      </c>
      <c r="N247" s="27">
        <v>1.329</v>
      </c>
      <c r="O247" s="18" t="s">
        <v>84</v>
      </c>
    </row>
    <row r="248" spans="2:15" x14ac:dyDescent="0.2">
      <c r="B248" s="126" t="s">
        <v>27</v>
      </c>
      <c r="C248" s="14">
        <v>4.9000000000000002E-2</v>
      </c>
      <c r="D248" s="14">
        <v>0.05</v>
      </c>
      <c r="E248" s="34">
        <v>5.7000000000000002E-2</v>
      </c>
      <c r="F248" s="28">
        <v>5.1999999999999998E-2</v>
      </c>
      <c r="G248" s="33">
        <v>5.6000000000000001E-2</v>
      </c>
      <c r="H248" s="14">
        <v>0.05</v>
      </c>
      <c r="I248" s="35">
        <v>6.4000000000000001E-2</v>
      </c>
      <c r="J248" s="28">
        <v>5.1999999999999998E-2</v>
      </c>
      <c r="K248" s="28">
        <v>5.1999999999999998E-2</v>
      </c>
      <c r="L248" s="15">
        <v>5.0999999999999997E-2</v>
      </c>
      <c r="M248" s="29">
        <v>5.2999999999999999E-2</v>
      </c>
      <c r="N248" s="15">
        <v>0.05</v>
      </c>
      <c r="O248" s="18" t="s">
        <v>81</v>
      </c>
    </row>
    <row r="249" spans="2:15" x14ac:dyDescent="0.2">
      <c r="B249" s="127"/>
      <c r="C249" s="21">
        <v>4.3999999999999997E-2</v>
      </c>
      <c r="D249" s="21">
        <v>4.3999999999999997E-2</v>
      </c>
      <c r="E249" s="20">
        <v>4.5999999999999999E-2</v>
      </c>
      <c r="F249" s="20">
        <v>4.7E-2</v>
      </c>
      <c r="G249" s="23">
        <v>5.0999999999999997E-2</v>
      </c>
      <c r="H249" s="20">
        <v>4.5999999999999999E-2</v>
      </c>
      <c r="I249" s="36">
        <v>6.0999999999999999E-2</v>
      </c>
      <c r="J249" s="21">
        <v>4.4999999999999998E-2</v>
      </c>
      <c r="K249" s="21">
        <v>4.4999999999999998E-2</v>
      </c>
      <c r="L249" s="21">
        <v>4.4999999999999998E-2</v>
      </c>
      <c r="M249" s="20">
        <v>4.7E-2</v>
      </c>
      <c r="N249" s="21">
        <v>4.3999999999999997E-2</v>
      </c>
      <c r="O249" s="18" t="s">
        <v>82</v>
      </c>
    </row>
    <row r="250" spans="2:15" x14ac:dyDescent="0.2">
      <c r="B250" s="127"/>
      <c r="C250" s="26">
        <v>2.8000000000000001E-2</v>
      </c>
      <c r="D250" s="25">
        <v>3.1E-2</v>
      </c>
      <c r="E250" s="37">
        <v>6.0999999999999999E-2</v>
      </c>
      <c r="F250" s="26">
        <v>2.9000000000000001E-2</v>
      </c>
      <c r="G250" s="25">
        <v>3.1E-2</v>
      </c>
      <c r="H250" s="20">
        <v>2.5000000000000001E-2</v>
      </c>
      <c r="I250" s="21">
        <v>2.1000000000000001E-2</v>
      </c>
      <c r="J250" s="23">
        <v>3.5999999999999997E-2</v>
      </c>
      <c r="K250" s="24">
        <v>3.5999999999999997E-2</v>
      </c>
      <c r="L250" s="23">
        <v>3.4000000000000002E-2</v>
      </c>
      <c r="M250" s="24">
        <v>3.6999999999999998E-2</v>
      </c>
      <c r="N250" s="23">
        <v>3.4000000000000002E-2</v>
      </c>
      <c r="O250" s="18" t="s">
        <v>83</v>
      </c>
    </row>
    <row r="251" spans="2:15" x14ac:dyDescent="0.2">
      <c r="B251" s="127"/>
      <c r="C251" s="19">
        <v>4.2999999999999997E-2</v>
      </c>
      <c r="D251" s="19">
        <v>6.9000000000000006E-2</v>
      </c>
      <c r="E251" s="25">
        <v>0.55100000000000005</v>
      </c>
      <c r="F251" s="24">
        <v>0.69499999999999995</v>
      </c>
      <c r="G251" s="25">
        <v>0.52300000000000002</v>
      </c>
      <c r="H251" s="19">
        <v>9.9000000000000005E-2</v>
      </c>
      <c r="I251" s="31">
        <v>0.81699999999999995</v>
      </c>
      <c r="J251" s="26">
        <v>0.39</v>
      </c>
      <c r="K251" s="25">
        <v>0.51300000000000001</v>
      </c>
      <c r="L251" s="19">
        <v>6.8000000000000005E-2</v>
      </c>
      <c r="M251" s="20">
        <v>0.251</v>
      </c>
      <c r="N251" s="19">
        <v>4.2000000000000003E-2</v>
      </c>
      <c r="O251" s="18">
        <v>570</v>
      </c>
    </row>
    <row r="252" spans="2:15" x14ac:dyDescent="0.2">
      <c r="B252" s="128"/>
      <c r="C252" s="27">
        <v>1.534</v>
      </c>
      <c r="D252" s="27">
        <v>2.2240000000000002</v>
      </c>
      <c r="E252" s="27">
        <v>9.0129999999999999</v>
      </c>
      <c r="F252" s="27">
        <v>24.044</v>
      </c>
      <c r="G252" s="27">
        <v>17.123000000000001</v>
      </c>
      <c r="H252" s="27">
        <v>3.972</v>
      </c>
      <c r="I252" s="27">
        <v>39.725999999999999</v>
      </c>
      <c r="J252" s="27">
        <v>10.977</v>
      </c>
      <c r="K252" s="27">
        <v>14.212</v>
      </c>
      <c r="L252" s="27">
        <v>1.9830000000000001</v>
      </c>
      <c r="M252" s="27">
        <v>6.7510000000000003</v>
      </c>
      <c r="N252" s="27">
        <v>1.216</v>
      </c>
      <c r="O252" s="18" t="s">
        <v>84</v>
      </c>
    </row>
    <row r="253" spans="2:15" x14ac:dyDescent="0.2">
      <c r="B253" s="126" t="s">
        <v>35</v>
      </c>
      <c r="C253" s="16">
        <v>4.8000000000000001E-2</v>
      </c>
      <c r="D253" s="34">
        <v>5.8000000000000003E-2</v>
      </c>
      <c r="E253" s="14">
        <v>4.9000000000000002E-2</v>
      </c>
      <c r="F253" s="38">
        <v>6.9000000000000006E-2</v>
      </c>
      <c r="G253" s="15">
        <v>5.0999999999999997E-2</v>
      </c>
      <c r="H253" s="34">
        <v>5.7000000000000002E-2</v>
      </c>
      <c r="I253" s="28">
        <v>5.1999999999999998E-2</v>
      </c>
      <c r="J253" s="14">
        <v>0.05</v>
      </c>
      <c r="K253" s="28">
        <v>5.1999999999999998E-2</v>
      </c>
      <c r="L253" s="33">
        <v>5.6000000000000001E-2</v>
      </c>
      <c r="M253" s="28">
        <v>5.2999999999999999E-2</v>
      </c>
      <c r="N253" s="14">
        <v>4.9000000000000002E-2</v>
      </c>
      <c r="O253" s="18" t="s">
        <v>81</v>
      </c>
    </row>
    <row r="254" spans="2:15" x14ac:dyDescent="0.2">
      <c r="B254" s="127"/>
      <c r="C254" s="19">
        <v>4.2999999999999997E-2</v>
      </c>
      <c r="D254" s="24">
        <v>5.2999999999999999E-2</v>
      </c>
      <c r="E254" s="19">
        <v>4.3999999999999997E-2</v>
      </c>
      <c r="F254" s="37">
        <v>6.6000000000000003E-2</v>
      </c>
      <c r="G254" s="20">
        <v>4.7E-2</v>
      </c>
      <c r="H254" s="23">
        <v>5.0999999999999997E-2</v>
      </c>
      <c r="I254" s="21">
        <v>4.3999999999999997E-2</v>
      </c>
      <c r="J254" s="21">
        <v>4.3999999999999997E-2</v>
      </c>
      <c r="K254" s="20">
        <v>4.5999999999999999E-2</v>
      </c>
      <c r="L254" s="25">
        <v>4.9000000000000002E-2</v>
      </c>
      <c r="M254" s="20">
        <v>4.5999999999999999E-2</v>
      </c>
      <c r="N254" s="19">
        <v>4.2999999999999997E-2</v>
      </c>
      <c r="O254" s="18" t="s">
        <v>82</v>
      </c>
    </row>
    <row r="255" spans="2:15" x14ac:dyDescent="0.2">
      <c r="B255" s="127"/>
      <c r="C255" s="20">
        <v>2.5999999999999999E-2</v>
      </c>
      <c r="D255" s="26">
        <v>2.9000000000000001E-2</v>
      </c>
      <c r="E255" s="25">
        <v>3.1E-2</v>
      </c>
      <c r="F255" s="19">
        <v>1.7000000000000001E-2</v>
      </c>
      <c r="G255" s="26">
        <v>2.7E-2</v>
      </c>
      <c r="H255" s="23">
        <v>3.3000000000000002E-2</v>
      </c>
      <c r="I255" s="31">
        <v>4.1000000000000002E-2</v>
      </c>
      <c r="J255" s="26">
        <v>2.8000000000000001E-2</v>
      </c>
      <c r="K255" s="23">
        <v>3.4000000000000002E-2</v>
      </c>
      <c r="L255" s="23">
        <v>3.5000000000000003E-2</v>
      </c>
      <c r="M255" s="24">
        <v>3.5999999999999997E-2</v>
      </c>
      <c r="N255" s="23">
        <v>3.4000000000000002E-2</v>
      </c>
      <c r="O255" s="18" t="s">
        <v>83</v>
      </c>
    </row>
    <row r="256" spans="2:15" x14ac:dyDescent="0.2">
      <c r="B256" s="127"/>
      <c r="C256" s="19">
        <v>4.2000000000000003E-2</v>
      </c>
      <c r="D256" s="37">
        <v>1.488</v>
      </c>
      <c r="E256" s="19">
        <v>7.1999999999999995E-2</v>
      </c>
      <c r="F256" s="23">
        <v>0.60799999999999998</v>
      </c>
      <c r="G256" s="19">
        <v>0.1</v>
      </c>
      <c r="H256" s="37">
        <v>1.5129999999999999</v>
      </c>
      <c r="I256" s="25">
        <v>0.48599999999999999</v>
      </c>
      <c r="J256" s="19">
        <v>4.3999999999999997E-2</v>
      </c>
      <c r="K256" s="31">
        <v>0.85699999999999998</v>
      </c>
      <c r="L256" s="30">
        <v>1.3740000000000001</v>
      </c>
      <c r="M256" s="39">
        <v>1.0409999999999999</v>
      </c>
      <c r="N256" s="19">
        <v>4.1000000000000002E-2</v>
      </c>
      <c r="O256" s="18">
        <v>570</v>
      </c>
    </row>
    <row r="257" spans="2:15" x14ac:dyDescent="0.2">
      <c r="B257" s="128"/>
      <c r="C257" s="27">
        <v>1.655</v>
      </c>
      <c r="D257" s="27">
        <v>51.521999999999998</v>
      </c>
      <c r="E257" s="27">
        <v>2.363</v>
      </c>
      <c r="F257" s="27">
        <v>36.497999999999998</v>
      </c>
      <c r="G257" s="27">
        <v>3.6549999999999998</v>
      </c>
      <c r="H257" s="27">
        <v>46.152999999999999</v>
      </c>
      <c r="I257" s="27">
        <v>11.829000000000001</v>
      </c>
      <c r="J257" s="27">
        <v>1.5840000000000001</v>
      </c>
      <c r="K257" s="27">
        <v>24.872</v>
      </c>
      <c r="L257" s="27">
        <v>39.262999999999998</v>
      </c>
      <c r="M257" s="27">
        <v>28.824999999999999</v>
      </c>
      <c r="N257" s="27">
        <v>1.2070000000000001</v>
      </c>
      <c r="O257" s="18" t="s">
        <v>84</v>
      </c>
    </row>
    <row r="258" spans="2:15" x14ac:dyDescent="0.2">
      <c r="B258" s="126" t="s">
        <v>43</v>
      </c>
      <c r="C258" s="14">
        <v>4.9000000000000002E-2</v>
      </c>
      <c r="D258" s="16">
        <v>4.8000000000000001E-2</v>
      </c>
      <c r="E258" s="28">
        <v>5.1999999999999998E-2</v>
      </c>
      <c r="F258" s="29">
        <v>5.3999999999999999E-2</v>
      </c>
      <c r="G258" s="15">
        <v>5.0999999999999997E-2</v>
      </c>
      <c r="H258" s="15">
        <v>5.0999999999999997E-2</v>
      </c>
      <c r="I258" s="15">
        <v>5.0999999999999997E-2</v>
      </c>
      <c r="J258" s="28">
        <v>5.2999999999999999E-2</v>
      </c>
      <c r="K258" s="16">
        <v>4.8000000000000001E-2</v>
      </c>
      <c r="L258" s="33">
        <v>5.6000000000000001E-2</v>
      </c>
      <c r="M258" s="28">
        <v>5.1999999999999998E-2</v>
      </c>
      <c r="N258" s="16">
        <v>4.8000000000000001E-2</v>
      </c>
      <c r="O258" s="18" t="s">
        <v>81</v>
      </c>
    </row>
    <row r="259" spans="2:15" x14ac:dyDescent="0.2">
      <c r="B259" s="127"/>
      <c r="C259" s="21">
        <v>4.3999999999999997E-2</v>
      </c>
      <c r="D259" s="19">
        <v>4.2999999999999997E-2</v>
      </c>
      <c r="E259" s="21">
        <v>4.3999999999999997E-2</v>
      </c>
      <c r="F259" s="26">
        <v>4.7E-2</v>
      </c>
      <c r="G259" s="20">
        <v>4.7E-2</v>
      </c>
      <c r="H259" s="21">
        <v>4.3999999999999997E-2</v>
      </c>
      <c r="I259" s="21">
        <v>4.4999999999999998E-2</v>
      </c>
      <c r="J259" s="20">
        <v>4.7E-2</v>
      </c>
      <c r="K259" s="19">
        <v>4.2999999999999997E-2</v>
      </c>
      <c r="L259" s="23">
        <v>5.0999999999999997E-2</v>
      </c>
      <c r="M259" s="20">
        <v>4.5999999999999999E-2</v>
      </c>
      <c r="N259" s="19">
        <v>4.2999999999999997E-2</v>
      </c>
      <c r="O259" s="18" t="s">
        <v>82</v>
      </c>
    </row>
    <row r="260" spans="2:15" x14ac:dyDescent="0.2">
      <c r="B260" s="127"/>
      <c r="C260" s="26">
        <v>2.7E-2</v>
      </c>
      <c r="D260" s="25">
        <v>3.2000000000000001E-2</v>
      </c>
      <c r="E260" s="22">
        <v>4.3999999999999997E-2</v>
      </c>
      <c r="F260" s="24">
        <v>3.6999999999999998E-2</v>
      </c>
      <c r="G260" s="21">
        <v>2.3E-2</v>
      </c>
      <c r="H260" s="23">
        <v>3.4000000000000002E-2</v>
      </c>
      <c r="I260" s="23">
        <v>3.4000000000000002E-2</v>
      </c>
      <c r="J260" s="23">
        <v>3.4000000000000002E-2</v>
      </c>
      <c r="K260" s="25">
        <v>3.1E-2</v>
      </c>
      <c r="L260" s="20">
        <v>2.5999999999999999E-2</v>
      </c>
      <c r="M260" s="24">
        <v>3.5999999999999997E-2</v>
      </c>
      <c r="N260" s="25">
        <v>2.9000000000000001E-2</v>
      </c>
      <c r="O260" s="18" t="s">
        <v>83</v>
      </c>
    </row>
    <row r="261" spans="2:15" x14ac:dyDescent="0.2">
      <c r="B261" s="127"/>
      <c r="C261" s="19">
        <v>4.2000000000000003E-2</v>
      </c>
      <c r="D261" s="19">
        <v>6.3E-2</v>
      </c>
      <c r="E261" s="20">
        <v>0.28299999999999997</v>
      </c>
      <c r="F261" s="25">
        <v>0.55800000000000005</v>
      </c>
      <c r="G261" s="19">
        <v>0.129</v>
      </c>
      <c r="H261" s="19">
        <v>8.5000000000000006E-2</v>
      </c>
      <c r="I261" s="23">
        <v>0.61199999999999999</v>
      </c>
      <c r="J261" s="20">
        <v>0.3</v>
      </c>
      <c r="K261" s="26">
        <v>0.40200000000000002</v>
      </c>
      <c r="L261" s="19">
        <v>7.8E-2</v>
      </c>
      <c r="M261" s="22">
        <v>0.94699999999999995</v>
      </c>
      <c r="N261" s="19">
        <v>4.2000000000000003E-2</v>
      </c>
      <c r="O261" s="18">
        <v>570</v>
      </c>
    </row>
    <row r="262" spans="2:15" x14ac:dyDescent="0.2">
      <c r="B262" s="128"/>
      <c r="C262" s="27">
        <v>1.532</v>
      </c>
      <c r="D262" s="27">
        <v>2.0019999999999998</v>
      </c>
      <c r="E262" s="27">
        <v>6.4409999999999998</v>
      </c>
      <c r="F262" s="27">
        <v>15.004</v>
      </c>
      <c r="G262" s="27">
        <v>5.6769999999999996</v>
      </c>
      <c r="H262" s="27">
        <v>2.4990000000000001</v>
      </c>
      <c r="I262" s="27">
        <v>18.056000000000001</v>
      </c>
      <c r="J262" s="27">
        <v>8.8469999999999995</v>
      </c>
      <c r="K262" s="27">
        <v>13.163</v>
      </c>
      <c r="L262" s="27">
        <v>2.972</v>
      </c>
      <c r="M262" s="27">
        <v>26.225000000000001</v>
      </c>
      <c r="N262" s="27">
        <v>1.413</v>
      </c>
      <c r="O262" s="18" t="s">
        <v>84</v>
      </c>
    </row>
    <row r="263" spans="2:15" x14ac:dyDescent="0.2">
      <c r="B263" s="126" t="s">
        <v>51</v>
      </c>
      <c r="C263" s="16">
        <v>4.7E-2</v>
      </c>
      <c r="D263" s="15">
        <v>0.05</v>
      </c>
      <c r="E263" s="15">
        <v>0.05</v>
      </c>
      <c r="F263" s="28">
        <v>5.2999999999999999E-2</v>
      </c>
      <c r="G263" s="16">
        <v>4.8000000000000001E-2</v>
      </c>
      <c r="H263" s="28">
        <v>5.1999999999999998E-2</v>
      </c>
      <c r="I263" s="14">
        <v>0.05</v>
      </c>
      <c r="J263" s="16">
        <v>4.8000000000000001E-2</v>
      </c>
      <c r="K263" s="14">
        <v>0.05</v>
      </c>
      <c r="L263" s="14">
        <v>4.9000000000000002E-2</v>
      </c>
      <c r="M263" s="14">
        <v>4.9000000000000002E-2</v>
      </c>
      <c r="N263" s="14">
        <v>4.9000000000000002E-2</v>
      </c>
      <c r="O263" s="18" t="s">
        <v>81</v>
      </c>
    </row>
    <row r="264" spans="2:15" x14ac:dyDescent="0.2">
      <c r="B264" s="127"/>
      <c r="C264" s="19">
        <v>4.2000000000000003E-2</v>
      </c>
      <c r="D264" s="21">
        <v>4.3999999999999997E-2</v>
      </c>
      <c r="E264" s="21">
        <v>4.3999999999999997E-2</v>
      </c>
      <c r="F264" s="26">
        <v>4.8000000000000001E-2</v>
      </c>
      <c r="G264" s="19">
        <v>4.2000000000000003E-2</v>
      </c>
      <c r="H264" s="20">
        <v>4.5999999999999999E-2</v>
      </c>
      <c r="I264" s="19">
        <v>4.2999999999999997E-2</v>
      </c>
      <c r="J264" s="19">
        <v>4.2999999999999997E-2</v>
      </c>
      <c r="K264" s="19">
        <v>4.3999999999999997E-2</v>
      </c>
      <c r="L264" s="19">
        <v>4.3999999999999997E-2</v>
      </c>
      <c r="M264" s="19">
        <v>4.2999999999999997E-2</v>
      </c>
      <c r="N264" s="19">
        <v>4.2999999999999997E-2</v>
      </c>
      <c r="O264" s="18" t="s">
        <v>82</v>
      </c>
    </row>
    <row r="265" spans="2:15" x14ac:dyDescent="0.2">
      <c r="B265" s="127"/>
      <c r="C265" s="26">
        <v>2.7E-2</v>
      </c>
      <c r="D265" s="25">
        <v>3.2000000000000001E-2</v>
      </c>
      <c r="E265" s="23">
        <v>3.5999999999999997E-2</v>
      </c>
      <c r="F265" s="26">
        <v>2.8000000000000001E-2</v>
      </c>
      <c r="G265" s="25">
        <v>3.2000000000000001E-2</v>
      </c>
      <c r="H265" s="25">
        <v>3.2000000000000001E-2</v>
      </c>
      <c r="I265" s="23">
        <v>3.3000000000000002E-2</v>
      </c>
      <c r="J265" s="25">
        <v>3.1E-2</v>
      </c>
      <c r="K265" s="23">
        <v>3.5999999999999997E-2</v>
      </c>
      <c r="L265" s="25">
        <v>0.03</v>
      </c>
      <c r="M265" s="23">
        <v>3.5000000000000003E-2</v>
      </c>
      <c r="N265" s="25">
        <v>3.1E-2</v>
      </c>
      <c r="O265" s="18" t="s">
        <v>83</v>
      </c>
    </row>
    <row r="266" spans="2:15" x14ac:dyDescent="0.2">
      <c r="B266" s="127"/>
      <c r="C266" s="19">
        <v>4.2000000000000003E-2</v>
      </c>
      <c r="D266" s="19">
        <v>4.2999999999999997E-2</v>
      </c>
      <c r="E266" s="19">
        <v>4.3999999999999997E-2</v>
      </c>
      <c r="F266" s="19">
        <v>4.4999999999999998E-2</v>
      </c>
      <c r="G266" s="19">
        <v>4.1000000000000002E-2</v>
      </c>
      <c r="H266" s="19">
        <v>4.3999999999999997E-2</v>
      </c>
      <c r="I266" s="19">
        <v>4.1000000000000002E-2</v>
      </c>
      <c r="J266" s="19">
        <v>4.1000000000000002E-2</v>
      </c>
      <c r="K266" s="19">
        <v>4.2000000000000003E-2</v>
      </c>
      <c r="L266" s="19">
        <v>4.2000000000000003E-2</v>
      </c>
      <c r="M266" s="19">
        <v>4.1000000000000002E-2</v>
      </c>
      <c r="N266" s="19">
        <v>4.1000000000000002E-2</v>
      </c>
      <c r="O266" s="18">
        <v>570</v>
      </c>
    </row>
    <row r="267" spans="2:15" x14ac:dyDescent="0.2">
      <c r="B267" s="128"/>
      <c r="C267" s="27">
        <v>1.524</v>
      </c>
      <c r="D267" s="27">
        <v>1.3420000000000001</v>
      </c>
      <c r="E267" s="27">
        <v>1.252</v>
      </c>
      <c r="F267" s="27">
        <v>1.599</v>
      </c>
      <c r="G267" s="27">
        <v>1.276</v>
      </c>
      <c r="H267" s="27">
        <v>1.3560000000000001</v>
      </c>
      <c r="I267" s="27">
        <v>1.2390000000000001</v>
      </c>
      <c r="J267" s="27">
        <v>1.3520000000000001</v>
      </c>
      <c r="K267" s="27">
        <v>1.1779999999999999</v>
      </c>
      <c r="L267" s="27">
        <v>1.4</v>
      </c>
      <c r="M267" s="27">
        <v>1.1599999999999999</v>
      </c>
      <c r="N267" s="27">
        <v>1.325</v>
      </c>
      <c r="O267" s="18" t="s">
        <v>84</v>
      </c>
    </row>
  </sheetData>
  <mergeCells count="32">
    <mergeCell ref="B258:B262"/>
    <mergeCell ref="B263:B267"/>
    <mergeCell ref="B161:B165"/>
    <mergeCell ref="B166:B170"/>
    <mergeCell ref="B171:B175"/>
    <mergeCell ref="B176:B180"/>
    <mergeCell ref="B181:B185"/>
    <mergeCell ref="B186:B190"/>
    <mergeCell ref="B191:B195"/>
    <mergeCell ref="B196:B200"/>
    <mergeCell ref="B228:B232"/>
    <mergeCell ref="B233:B237"/>
    <mergeCell ref="B238:B242"/>
    <mergeCell ref="B243:B247"/>
    <mergeCell ref="B248:B252"/>
    <mergeCell ref="B253:B257"/>
    <mergeCell ref="B124:B128"/>
    <mergeCell ref="B129:B133"/>
    <mergeCell ref="B27:B31"/>
    <mergeCell ref="B32:B36"/>
    <mergeCell ref="B37:B41"/>
    <mergeCell ref="B42:B46"/>
    <mergeCell ref="B47:B51"/>
    <mergeCell ref="B52:B56"/>
    <mergeCell ref="B57:B61"/>
    <mergeCell ref="B62:B66"/>
    <mergeCell ref="B94:B98"/>
    <mergeCell ref="B99:B103"/>
    <mergeCell ref="B104:B108"/>
    <mergeCell ref="B109:B113"/>
    <mergeCell ref="B114:B118"/>
    <mergeCell ref="B119:B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D4ED5-0699-C146-9AEA-3A25B003AD19}">
  <dimension ref="B2:N22"/>
  <sheetViews>
    <sheetView workbookViewId="0">
      <selection activeCell="E5" sqref="E5"/>
    </sheetView>
  </sheetViews>
  <sheetFormatPr baseColWidth="10" defaultRowHeight="16" x14ac:dyDescent="0.2"/>
  <sheetData>
    <row r="2" spans="2:14" x14ac:dyDescent="0.2">
      <c r="C2" s="7" t="s">
        <v>52</v>
      </c>
    </row>
    <row r="3" spans="2:14" x14ac:dyDescent="0.2"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1">
        <v>10</v>
      </c>
      <c r="M3" s="1">
        <v>11</v>
      </c>
      <c r="N3" s="1">
        <v>12</v>
      </c>
    </row>
    <row r="4" spans="2:14" x14ac:dyDescent="0.2">
      <c r="B4" s="1" t="s">
        <v>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">
      <c r="B5" s="1" t="s">
        <v>1</v>
      </c>
      <c r="C5" s="2"/>
      <c r="D5" s="3" t="s">
        <v>2</v>
      </c>
      <c r="E5" s="4" t="s">
        <v>3</v>
      </c>
      <c r="F5" s="4" t="s">
        <v>4</v>
      </c>
      <c r="G5" s="4" t="s">
        <v>5</v>
      </c>
      <c r="H5" s="3" t="s">
        <v>2</v>
      </c>
      <c r="I5" s="4" t="s">
        <v>6</v>
      </c>
      <c r="J5" s="4" t="s">
        <v>7</v>
      </c>
      <c r="K5" s="4" t="s">
        <v>8</v>
      </c>
      <c r="L5" s="3" t="s">
        <v>2</v>
      </c>
      <c r="M5" s="4" t="s">
        <v>9</v>
      </c>
      <c r="N5" s="5"/>
    </row>
    <row r="6" spans="2:14" x14ac:dyDescent="0.2">
      <c r="B6" s="1" t="s">
        <v>10</v>
      </c>
      <c r="C6" s="2"/>
      <c r="D6" s="6" t="s">
        <v>11</v>
      </c>
      <c r="E6" s="4" t="s">
        <v>12</v>
      </c>
      <c r="F6" s="4" t="s">
        <v>13</v>
      </c>
      <c r="G6" s="4" t="s">
        <v>14</v>
      </c>
      <c r="H6" s="6" t="s">
        <v>11</v>
      </c>
      <c r="I6" s="4" t="s">
        <v>15</v>
      </c>
      <c r="J6" s="4" t="s">
        <v>16</v>
      </c>
      <c r="K6" s="4" t="s">
        <v>17</v>
      </c>
      <c r="L6" s="6" t="s">
        <v>11</v>
      </c>
      <c r="M6" s="4" t="s">
        <v>18</v>
      </c>
      <c r="N6" s="5"/>
    </row>
    <row r="7" spans="2:14" x14ac:dyDescent="0.2">
      <c r="B7" s="1" t="s">
        <v>19</v>
      </c>
      <c r="C7" s="2"/>
      <c r="D7" s="3" t="s">
        <v>2</v>
      </c>
      <c r="E7" s="4" t="s">
        <v>20</v>
      </c>
      <c r="F7" s="4" t="s">
        <v>21</v>
      </c>
      <c r="G7" s="4" t="s">
        <v>22</v>
      </c>
      <c r="H7" s="3" t="s">
        <v>2</v>
      </c>
      <c r="I7" s="4" t="s">
        <v>23</v>
      </c>
      <c r="J7" s="4" t="s">
        <v>24</v>
      </c>
      <c r="K7" s="4" t="s">
        <v>25</v>
      </c>
      <c r="L7" s="3" t="s">
        <v>2</v>
      </c>
      <c r="M7" s="4" t="s">
        <v>26</v>
      </c>
      <c r="N7" s="5"/>
    </row>
    <row r="8" spans="2:14" x14ac:dyDescent="0.2">
      <c r="B8" s="1" t="s">
        <v>27</v>
      </c>
      <c r="C8" s="2"/>
      <c r="D8" s="6" t="s">
        <v>11</v>
      </c>
      <c r="E8" s="4" t="s">
        <v>28</v>
      </c>
      <c r="F8" s="4" t="s">
        <v>29</v>
      </c>
      <c r="G8" s="4" t="s">
        <v>30</v>
      </c>
      <c r="H8" s="6" t="s">
        <v>11</v>
      </c>
      <c r="I8" s="4" t="s">
        <v>31</v>
      </c>
      <c r="J8" s="4" t="s">
        <v>32</v>
      </c>
      <c r="K8" s="4" t="s">
        <v>33</v>
      </c>
      <c r="L8" s="6" t="s">
        <v>11</v>
      </c>
      <c r="M8" s="4" t="s">
        <v>34</v>
      </c>
      <c r="N8" s="5"/>
    </row>
    <row r="9" spans="2:14" x14ac:dyDescent="0.2">
      <c r="B9" s="1" t="s">
        <v>35</v>
      </c>
      <c r="C9" s="2"/>
      <c r="D9" s="3" t="s">
        <v>2</v>
      </c>
      <c r="E9" s="4" t="s">
        <v>36</v>
      </c>
      <c r="F9" s="4" t="s">
        <v>37</v>
      </c>
      <c r="G9" s="4" t="s">
        <v>38</v>
      </c>
      <c r="H9" s="3" t="s">
        <v>2</v>
      </c>
      <c r="I9" s="4" t="s">
        <v>39</v>
      </c>
      <c r="J9" s="4" t="s">
        <v>40</v>
      </c>
      <c r="K9" s="4" t="s">
        <v>41</v>
      </c>
      <c r="L9" s="3" t="s">
        <v>2</v>
      </c>
      <c r="M9" s="4" t="s">
        <v>42</v>
      </c>
      <c r="N9" s="5"/>
    </row>
    <row r="10" spans="2:14" x14ac:dyDescent="0.2">
      <c r="B10" s="1" t="s">
        <v>43</v>
      </c>
      <c r="C10" s="2"/>
      <c r="D10" s="6" t="s">
        <v>11</v>
      </c>
      <c r="E10" s="4" t="s">
        <v>44</v>
      </c>
      <c r="F10" s="4" t="s">
        <v>45</v>
      </c>
      <c r="G10" s="4" t="s">
        <v>46</v>
      </c>
      <c r="H10" s="6" t="s">
        <v>11</v>
      </c>
      <c r="I10" s="4" t="s">
        <v>47</v>
      </c>
      <c r="J10" s="4" t="s">
        <v>48</v>
      </c>
      <c r="K10" s="4" t="s">
        <v>49</v>
      </c>
      <c r="L10" s="6" t="s">
        <v>11</v>
      </c>
      <c r="M10" s="4" t="s">
        <v>50</v>
      </c>
      <c r="N10" s="5"/>
    </row>
    <row r="11" spans="2:14" x14ac:dyDescent="0.2">
      <c r="B11" s="1" t="s">
        <v>51</v>
      </c>
      <c r="C11" s="2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3" spans="2:14" x14ac:dyDescent="0.2">
      <c r="C13" s="7" t="s">
        <v>137</v>
      </c>
    </row>
    <row r="14" spans="2:14" x14ac:dyDescent="0.2">
      <c r="C14" s="1">
        <v>1</v>
      </c>
      <c r="D14" s="1">
        <v>2</v>
      </c>
      <c r="E14" s="1">
        <v>3</v>
      </c>
      <c r="F14" s="1">
        <v>4</v>
      </c>
      <c r="G14" s="1">
        <v>5</v>
      </c>
      <c r="H14" s="1">
        <v>6</v>
      </c>
      <c r="I14" s="1">
        <v>7</v>
      </c>
      <c r="J14" s="1">
        <v>8</v>
      </c>
      <c r="K14" s="1">
        <v>9</v>
      </c>
      <c r="L14" s="1">
        <v>10</v>
      </c>
      <c r="M14" s="1">
        <v>11</v>
      </c>
      <c r="N14" s="1">
        <v>12</v>
      </c>
    </row>
    <row r="15" spans="2:14" x14ac:dyDescent="0.2">
      <c r="B15" s="1" t="s">
        <v>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2">
      <c r="B16" s="1" t="s">
        <v>1</v>
      </c>
      <c r="C16" s="2"/>
      <c r="D16" s="3" t="s">
        <v>2</v>
      </c>
      <c r="E16" s="4" t="s">
        <v>114</v>
      </c>
      <c r="F16" s="4" t="s">
        <v>114</v>
      </c>
      <c r="G16" s="4" t="s">
        <v>114</v>
      </c>
      <c r="H16" s="3" t="s">
        <v>2</v>
      </c>
      <c r="I16" s="123">
        <v>0</v>
      </c>
      <c r="J16" s="123">
        <v>0</v>
      </c>
      <c r="K16" s="123">
        <v>0</v>
      </c>
      <c r="L16" s="3" t="s">
        <v>2</v>
      </c>
      <c r="M16" s="123">
        <v>0</v>
      </c>
      <c r="N16" s="5"/>
    </row>
    <row r="17" spans="2:14" x14ac:dyDescent="0.2">
      <c r="B17" s="1" t="s">
        <v>10</v>
      </c>
      <c r="C17" s="2"/>
      <c r="D17" s="6" t="s">
        <v>11</v>
      </c>
      <c r="E17" s="4" t="s">
        <v>115</v>
      </c>
      <c r="F17" s="4" t="s">
        <v>115</v>
      </c>
      <c r="G17" s="4" t="s">
        <v>115</v>
      </c>
      <c r="H17" s="6" t="s">
        <v>11</v>
      </c>
      <c r="I17" s="123">
        <v>0</v>
      </c>
      <c r="J17" s="123">
        <v>0</v>
      </c>
      <c r="K17" s="123">
        <v>0</v>
      </c>
      <c r="L17" s="6" t="s">
        <v>11</v>
      </c>
      <c r="M17" s="123">
        <v>0</v>
      </c>
      <c r="N17" s="5"/>
    </row>
    <row r="18" spans="2:14" x14ac:dyDescent="0.2">
      <c r="B18" s="1" t="s">
        <v>19</v>
      </c>
      <c r="C18" s="2"/>
      <c r="D18" s="3" t="s">
        <v>2</v>
      </c>
      <c r="E18" s="4" t="s">
        <v>116</v>
      </c>
      <c r="F18" s="4" t="s">
        <v>116</v>
      </c>
      <c r="G18" s="4" t="s">
        <v>116</v>
      </c>
      <c r="H18" s="3" t="s">
        <v>2</v>
      </c>
      <c r="I18" s="123">
        <v>0</v>
      </c>
      <c r="J18" s="123">
        <v>0</v>
      </c>
      <c r="K18" s="123">
        <v>0</v>
      </c>
      <c r="L18" s="3" t="s">
        <v>2</v>
      </c>
      <c r="M18" s="123">
        <v>0</v>
      </c>
      <c r="N18" s="5"/>
    </row>
    <row r="19" spans="2:14" x14ac:dyDescent="0.2">
      <c r="B19" s="1" t="s">
        <v>27</v>
      </c>
      <c r="C19" s="2"/>
      <c r="D19" s="6" t="s">
        <v>11</v>
      </c>
      <c r="E19" s="4" t="s">
        <v>117</v>
      </c>
      <c r="F19" s="4" t="s">
        <v>117</v>
      </c>
      <c r="G19" s="4" t="s">
        <v>117</v>
      </c>
      <c r="H19" s="6" t="s">
        <v>11</v>
      </c>
      <c r="I19" s="123">
        <v>0</v>
      </c>
      <c r="J19" s="123">
        <v>0</v>
      </c>
      <c r="K19" s="123">
        <v>0</v>
      </c>
      <c r="L19" s="6" t="s">
        <v>11</v>
      </c>
      <c r="M19" s="123">
        <v>0</v>
      </c>
      <c r="N19" s="5"/>
    </row>
    <row r="20" spans="2:14" x14ac:dyDescent="0.2">
      <c r="B20" s="1" t="s">
        <v>35</v>
      </c>
      <c r="C20" s="2"/>
      <c r="D20" s="3" t="s">
        <v>2</v>
      </c>
      <c r="E20" s="123">
        <v>0</v>
      </c>
      <c r="F20" s="123">
        <v>0</v>
      </c>
      <c r="G20" s="123">
        <v>0</v>
      </c>
      <c r="H20" s="3" t="s">
        <v>2</v>
      </c>
      <c r="I20" s="123">
        <v>0</v>
      </c>
      <c r="J20" s="123">
        <v>0</v>
      </c>
      <c r="K20" s="123">
        <v>0</v>
      </c>
      <c r="L20" s="3" t="s">
        <v>2</v>
      </c>
      <c r="M20" s="123">
        <v>0</v>
      </c>
      <c r="N20" s="5"/>
    </row>
    <row r="21" spans="2:14" x14ac:dyDescent="0.2">
      <c r="B21" s="1" t="s">
        <v>43</v>
      </c>
      <c r="C21" s="2"/>
      <c r="D21" s="6" t="s">
        <v>11</v>
      </c>
      <c r="E21" s="123">
        <v>0</v>
      </c>
      <c r="F21" s="123">
        <v>0</v>
      </c>
      <c r="G21" s="123">
        <v>0</v>
      </c>
      <c r="H21" s="6" t="s">
        <v>11</v>
      </c>
      <c r="I21" s="123">
        <v>0</v>
      </c>
      <c r="J21" s="123">
        <v>0</v>
      </c>
      <c r="K21" s="123">
        <v>0</v>
      </c>
      <c r="L21" s="6" t="s">
        <v>11</v>
      </c>
      <c r="M21" s="123">
        <v>0</v>
      </c>
      <c r="N21" s="5"/>
    </row>
    <row r="22" spans="2:14" x14ac:dyDescent="0.2">
      <c r="B22" s="1" t="s">
        <v>51</v>
      </c>
      <c r="C22" s="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A5CE-55EE-B44A-9E67-AA943EAEBF36}">
  <dimension ref="B1:AL239"/>
  <sheetViews>
    <sheetView topLeftCell="A178" zoomScale="84" workbookViewId="0">
      <selection activeCell="AB201" sqref="AB201"/>
    </sheetView>
  </sheetViews>
  <sheetFormatPr baseColWidth="10" defaultRowHeight="16" x14ac:dyDescent="0.2"/>
  <sheetData>
    <row r="1" spans="2:38" x14ac:dyDescent="0.2">
      <c r="B1" s="7" t="s">
        <v>52</v>
      </c>
      <c r="C1" s="40">
        <v>45364</v>
      </c>
      <c r="D1" s="7" t="s">
        <v>113</v>
      </c>
      <c r="E1" s="41"/>
    </row>
    <row r="2" spans="2:38" x14ac:dyDescent="0.2">
      <c r="B2" s="42"/>
      <c r="C2" s="42">
        <v>1</v>
      </c>
      <c r="D2" s="42">
        <v>2</v>
      </c>
      <c r="E2" s="42">
        <v>3</v>
      </c>
      <c r="F2" s="42">
        <v>4</v>
      </c>
      <c r="G2" s="42">
        <v>5</v>
      </c>
      <c r="H2" s="42">
        <v>6</v>
      </c>
      <c r="I2" s="42">
        <v>7</v>
      </c>
      <c r="J2" s="42">
        <v>8</v>
      </c>
      <c r="K2" s="42">
        <v>9</v>
      </c>
      <c r="L2" s="42">
        <v>10</v>
      </c>
      <c r="M2" s="42">
        <v>11</v>
      </c>
      <c r="N2" s="42">
        <v>12</v>
      </c>
      <c r="Q2" s="1">
        <v>1</v>
      </c>
      <c r="R2" s="1">
        <v>2</v>
      </c>
      <c r="S2" s="1">
        <v>3</v>
      </c>
      <c r="T2" s="1">
        <v>4</v>
      </c>
      <c r="U2" s="1">
        <v>5</v>
      </c>
      <c r="V2" s="1">
        <v>6</v>
      </c>
      <c r="W2" s="1">
        <v>7</v>
      </c>
      <c r="X2" s="1">
        <v>8</v>
      </c>
      <c r="Y2" s="1">
        <v>9</v>
      </c>
      <c r="Z2" s="1">
        <v>10</v>
      </c>
      <c r="AA2" s="1">
        <v>11</v>
      </c>
      <c r="AB2" s="1">
        <v>12</v>
      </c>
    </row>
    <row r="3" spans="2:38" x14ac:dyDescent="0.2">
      <c r="B3" s="43" t="s">
        <v>0</v>
      </c>
      <c r="C3" s="44">
        <v>4.2000000000000003E-2</v>
      </c>
      <c r="D3" s="44">
        <v>4.2000000000000003E-2</v>
      </c>
      <c r="E3" s="44">
        <v>4.2999999999999997E-2</v>
      </c>
      <c r="F3" s="44">
        <v>4.2000000000000003E-2</v>
      </c>
      <c r="G3" s="44">
        <v>4.2000000000000003E-2</v>
      </c>
      <c r="H3" s="44">
        <v>4.1000000000000002E-2</v>
      </c>
      <c r="I3" s="44">
        <v>4.3999999999999997E-2</v>
      </c>
      <c r="J3" s="44">
        <v>4.3999999999999997E-2</v>
      </c>
      <c r="K3" s="44">
        <v>4.2000000000000003E-2</v>
      </c>
      <c r="L3" s="44">
        <v>4.2000000000000003E-2</v>
      </c>
      <c r="M3" s="44">
        <v>4.3999999999999997E-2</v>
      </c>
      <c r="N3" s="44">
        <v>4.1000000000000002E-2</v>
      </c>
      <c r="O3" s="18">
        <v>570</v>
      </c>
      <c r="P3" s="1" t="s">
        <v>0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8" x14ac:dyDescent="0.2">
      <c r="B4" s="43" t="s">
        <v>1</v>
      </c>
      <c r="C4" s="44">
        <v>4.2999999999999997E-2</v>
      </c>
      <c r="D4" s="54">
        <v>1.48</v>
      </c>
      <c r="E4" s="56">
        <v>0.92200000000000004</v>
      </c>
      <c r="F4" s="44">
        <v>6.4000000000000001E-2</v>
      </c>
      <c r="G4" s="47">
        <v>0.16800000000000001</v>
      </c>
      <c r="H4" s="45">
        <v>1.3919999999999999</v>
      </c>
      <c r="I4" s="48">
        <v>0.29199999999999998</v>
      </c>
      <c r="J4" s="47">
        <v>0.15</v>
      </c>
      <c r="K4" s="48">
        <v>0.34399999999999997</v>
      </c>
      <c r="L4" s="45">
        <v>1.355</v>
      </c>
      <c r="M4" s="44">
        <v>0.129</v>
      </c>
      <c r="N4" s="44">
        <v>4.7E-2</v>
      </c>
      <c r="O4" s="18">
        <v>570</v>
      </c>
      <c r="P4" s="1" t="s">
        <v>1</v>
      </c>
      <c r="Q4" s="2"/>
      <c r="R4" s="3" t="s">
        <v>2</v>
      </c>
      <c r="S4" s="4" t="s">
        <v>3</v>
      </c>
      <c r="T4" s="4" t="s">
        <v>4</v>
      </c>
      <c r="U4" s="4" t="s">
        <v>5</v>
      </c>
      <c r="V4" s="3" t="s">
        <v>2</v>
      </c>
      <c r="W4" s="4" t="s">
        <v>6</v>
      </c>
      <c r="X4" s="4" t="s">
        <v>7</v>
      </c>
      <c r="Y4" s="4" t="s">
        <v>8</v>
      </c>
      <c r="Z4" s="3" t="s">
        <v>2</v>
      </c>
      <c r="AA4" s="4" t="s">
        <v>9</v>
      </c>
      <c r="AB4" s="5"/>
    </row>
    <row r="5" spans="2:38" x14ac:dyDescent="0.2">
      <c r="B5" s="43" t="s">
        <v>10</v>
      </c>
      <c r="C5" s="44">
        <v>4.2999999999999997E-2</v>
      </c>
      <c r="D5" s="44">
        <v>0.129</v>
      </c>
      <c r="E5" s="56">
        <v>0.94199999999999995</v>
      </c>
      <c r="F5" s="50">
        <v>0.432</v>
      </c>
      <c r="G5" s="51">
        <v>0.49</v>
      </c>
      <c r="H5" s="44">
        <v>0.08</v>
      </c>
      <c r="I5" s="44">
        <v>6.6000000000000003E-2</v>
      </c>
      <c r="J5" s="48">
        <v>0.30299999999999999</v>
      </c>
      <c r="K5" s="44">
        <v>0.14399999999999999</v>
      </c>
      <c r="L5" s="44">
        <v>7.0000000000000007E-2</v>
      </c>
      <c r="M5" s="50">
        <v>0.42</v>
      </c>
      <c r="N5" s="44">
        <v>4.3999999999999997E-2</v>
      </c>
      <c r="O5" s="18">
        <v>570</v>
      </c>
      <c r="P5" s="1" t="s">
        <v>10</v>
      </c>
      <c r="Q5" s="2"/>
      <c r="R5" s="6" t="s">
        <v>11</v>
      </c>
      <c r="S5" s="4" t="s">
        <v>12</v>
      </c>
      <c r="T5" s="4" t="s">
        <v>13</v>
      </c>
      <c r="U5" s="4" t="s">
        <v>14</v>
      </c>
      <c r="V5" s="6" t="s">
        <v>11</v>
      </c>
      <c r="W5" s="4" t="s">
        <v>15</v>
      </c>
      <c r="X5" s="4" t="s">
        <v>16</v>
      </c>
      <c r="Y5" s="4" t="s">
        <v>17</v>
      </c>
      <c r="Z5" s="6" t="s">
        <v>11</v>
      </c>
      <c r="AA5" s="4" t="s">
        <v>18</v>
      </c>
      <c r="AB5" s="5"/>
    </row>
    <row r="6" spans="2:38" x14ac:dyDescent="0.2">
      <c r="B6" s="43" t="s">
        <v>19</v>
      </c>
      <c r="C6" s="44">
        <v>4.8000000000000001E-2</v>
      </c>
      <c r="D6" s="54">
        <v>1.4630000000000001</v>
      </c>
      <c r="E6" s="55">
        <v>1.0680000000000001</v>
      </c>
      <c r="F6" s="46">
        <v>0.876</v>
      </c>
      <c r="G6" s="51">
        <v>0.47499999999999998</v>
      </c>
      <c r="H6" s="54">
        <v>1.5069999999999999</v>
      </c>
      <c r="I6" s="51">
        <v>0.48699999999999999</v>
      </c>
      <c r="J6" s="48">
        <v>0.34599999999999997</v>
      </c>
      <c r="K6" s="52">
        <v>0.63500000000000001</v>
      </c>
      <c r="L6" s="49">
        <v>1.25</v>
      </c>
      <c r="M6" s="50">
        <v>0.377</v>
      </c>
      <c r="N6" s="44">
        <v>4.1000000000000002E-2</v>
      </c>
      <c r="O6" s="18">
        <v>570</v>
      </c>
      <c r="P6" s="1" t="s">
        <v>19</v>
      </c>
      <c r="Q6" s="2"/>
      <c r="R6" s="3" t="s">
        <v>2</v>
      </c>
      <c r="S6" s="4" t="s">
        <v>20</v>
      </c>
      <c r="T6" s="4" t="s">
        <v>21</v>
      </c>
      <c r="U6" s="4" t="s">
        <v>22</v>
      </c>
      <c r="V6" s="3" t="s">
        <v>2</v>
      </c>
      <c r="W6" s="4" t="s">
        <v>23</v>
      </c>
      <c r="X6" s="4" t="s">
        <v>24</v>
      </c>
      <c r="Y6" s="4" t="s">
        <v>25</v>
      </c>
      <c r="Z6" s="3" t="s">
        <v>2</v>
      </c>
      <c r="AA6" s="4" t="s">
        <v>26</v>
      </c>
      <c r="AB6" s="5"/>
    </row>
    <row r="7" spans="2:38" x14ac:dyDescent="0.2">
      <c r="B7" s="43" t="s">
        <v>27</v>
      </c>
      <c r="C7" s="44">
        <v>4.4999999999999998E-2</v>
      </c>
      <c r="D7" s="44">
        <v>0.06</v>
      </c>
      <c r="E7" s="52">
        <v>0.59599999999999997</v>
      </c>
      <c r="F7" s="52">
        <v>0.58199999999999996</v>
      </c>
      <c r="G7" s="51">
        <v>0.48399999999999999</v>
      </c>
      <c r="H7" s="44">
        <v>7.8E-2</v>
      </c>
      <c r="I7" s="46">
        <v>0.77600000000000002</v>
      </c>
      <c r="J7" s="47">
        <v>0.24099999999999999</v>
      </c>
      <c r="K7" s="51">
        <v>0.51300000000000001</v>
      </c>
      <c r="L7" s="44">
        <v>8.4000000000000005E-2</v>
      </c>
      <c r="M7" s="47">
        <v>0.19700000000000001</v>
      </c>
      <c r="N7" s="44">
        <v>4.4999999999999998E-2</v>
      </c>
      <c r="O7" s="18">
        <v>570</v>
      </c>
      <c r="P7" s="1" t="s">
        <v>27</v>
      </c>
      <c r="Q7" s="2"/>
      <c r="R7" s="6" t="s">
        <v>11</v>
      </c>
      <c r="S7" s="4" t="s">
        <v>28</v>
      </c>
      <c r="T7" s="4" t="s">
        <v>29</v>
      </c>
      <c r="U7" s="4" t="s">
        <v>30</v>
      </c>
      <c r="V7" s="6" t="s">
        <v>11</v>
      </c>
      <c r="W7" s="4" t="s">
        <v>31</v>
      </c>
      <c r="X7" s="4" t="s">
        <v>32</v>
      </c>
      <c r="Y7" s="4" t="s">
        <v>33</v>
      </c>
      <c r="Z7" s="6" t="s">
        <v>11</v>
      </c>
      <c r="AA7" s="4" t="s">
        <v>34</v>
      </c>
      <c r="AB7" s="5"/>
    </row>
    <row r="8" spans="2:38" x14ac:dyDescent="0.2">
      <c r="B8" s="43" t="s">
        <v>35</v>
      </c>
      <c r="C8" s="44">
        <v>4.2000000000000003E-2</v>
      </c>
      <c r="D8" s="45">
        <v>1.383</v>
      </c>
      <c r="E8" s="44">
        <v>6.4000000000000001E-2</v>
      </c>
      <c r="F8" s="52">
        <v>0.57799999999999996</v>
      </c>
      <c r="G8" s="47">
        <v>0.16900000000000001</v>
      </c>
      <c r="H8" s="54">
        <v>1.4590000000000001</v>
      </c>
      <c r="I8" s="51">
        <v>0.49399999999999999</v>
      </c>
      <c r="J8" s="44">
        <v>4.3999999999999997E-2</v>
      </c>
      <c r="K8" s="46">
        <v>0.78800000000000003</v>
      </c>
      <c r="L8" s="49">
        <v>1.204</v>
      </c>
      <c r="M8" s="56">
        <v>0.93799999999999994</v>
      </c>
      <c r="N8" s="44">
        <v>4.2999999999999997E-2</v>
      </c>
      <c r="O8" s="18">
        <v>570</v>
      </c>
      <c r="P8" s="1" t="s">
        <v>35</v>
      </c>
      <c r="Q8" s="2"/>
      <c r="R8" s="3" t="s">
        <v>2</v>
      </c>
      <c r="S8" s="4" t="s">
        <v>36</v>
      </c>
      <c r="T8" s="4" t="s">
        <v>37</v>
      </c>
      <c r="U8" s="4" t="s">
        <v>38</v>
      </c>
      <c r="V8" s="3" t="s">
        <v>2</v>
      </c>
      <c r="W8" s="4" t="s">
        <v>39</v>
      </c>
      <c r="X8" s="4" t="s">
        <v>40</v>
      </c>
      <c r="Y8" s="4" t="s">
        <v>41</v>
      </c>
      <c r="Z8" s="3" t="s">
        <v>2</v>
      </c>
      <c r="AA8" s="4" t="s">
        <v>42</v>
      </c>
      <c r="AB8" s="5"/>
    </row>
    <row r="9" spans="2:38" x14ac:dyDescent="0.2">
      <c r="B9" s="43" t="s">
        <v>43</v>
      </c>
      <c r="C9" s="44">
        <v>4.2999999999999997E-2</v>
      </c>
      <c r="D9" s="44">
        <v>0.06</v>
      </c>
      <c r="E9" s="48">
        <v>0.28100000000000003</v>
      </c>
      <c r="F9" s="52">
        <v>0.57399999999999995</v>
      </c>
      <c r="G9" s="44">
        <v>0.14099999999999999</v>
      </c>
      <c r="H9" s="44">
        <v>6.7000000000000004E-2</v>
      </c>
      <c r="I9" s="51">
        <v>0.46899999999999997</v>
      </c>
      <c r="J9" s="47">
        <v>0.221</v>
      </c>
      <c r="K9" s="50">
        <v>0.439</v>
      </c>
      <c r="L9" s="44">
        <v>7.0000000000000007E-2</v>
      </c>
      <c r="M9" s="46">
        <v>0.78400000000000003</v>
      </c>
      <c r="N9" s="44">
        <v>4.1000000000000002E-2</v>
      </c>
      <c r="O9" s="18">
        <v>570</v>
      </c>
      <c r="P9" s="1" t="s">
        <v>43</v>
      </c>
      <c r="Q9" s="2"/>
      <c r="R9" s="6" t="s">
        <v>11</v>
      </c>
      <c r="S9" s="4" t="s">
        <v>44</v>
      </c>
      <c r="T9" s="4" t="s">
        <v>45</v>
      </c>
      <c r="U9" s="4" t="s">
        <v>46</v>
      </c>
      <c r="V9" s="6" t="s">
        <v>11</v>
      </c>
      <c r="W9" s="4" t="s">
        <v>47</v>
      </c>
      <c r="X9" s="4" t="s">
        <v>48</v>
      </c>
      <c r="Y9" s="4" t="s">
        <v>49</v>
      </c>
      <c r="Z9" s="6" t="s">
        <v>11</v>
      </c>
      <c r="AA9" s="4" t="s">
        <v>50</v>
      </c>
      <c r="AB9" s="5"/>
    </row>
    <row r="10" spans="2:38" x14ac:dyDescent="0.2">
      <c r="B10" s="43" t="s">
        <v>51</v>
      </c>
      <c r="C10" s="44">
        <v>4.1000000000000002E-2</v>
      </c>
      <c r="D10" s="44">
        <v>0.04</v>
      </c>
      <c r="E10" s="44">
        <v>4.1000000000000002E-2</v>
      </c>
      <c r="F10" s="44">
        <v>4.2000000000000003E-2</v>
      </c>
      <c r="G10" s="44">
        <v>4.2000000000000003E-2</v>
      </c>
      <c r="H10" s="44">
        <v>4.2000000000000003E-2</v>
      </c>
      <c r="I10" s="44">
        <v>4.3999999999999997E-2</v>
      </c>
      <c r="J10" s="44">
        <v>4.4999999999999998E-2</v>
      </c>
      <c r="K10" s="44">
        <v>4.2000000000000003E-2</v>
      </c>
      <c r="L10" s="44">
        <v>4.1000000000000002E-2</v>
      </c>
      <c r="M10" s="44">
        <v>4.1000000000000002E-2</v>
      </c>
      <c r="N10" s="44">
        <v>4.1000000000000002E-2</v>
      </c>
      <c r="O10" s="18">
        <v>570</v>
      </c>
      <c r="P10" s="1" t="s">
        <v>51</v>
      </c>
      <c r="Q10" s="2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</row>
    <row r="12" spans="2:38" x14ac:dyDescent="0.2">
      <c r="B12" s="57" t="s">
        <v>85</v>
      </c>
      <c r="P12" s="57" t="s">
        <v>86</v>
      </c>
    </row>
    <row r="13" spans="2:38" x14ac:dyDescent="0.2">
      <c r="C13" s="58" t="s">
        <v>87</v>
      </c>
      <c r="D13">
        <f>AVERAGE(D10:N10,N3:N9,D3:M3,C3:C10)</f>
        <v>4.2666666666666672E-2</v>
      </c>
      <c r="AE13" t="s">
        <v>88</v>
      </c>
      <c r="AH13" t="s">
        <v>89</v>
      </c>
    </row>
    <row r="14" spans="2:38" x14ac:dyDescent="0.2">
      <c r="C14" s="58" t="s">
        <v>90</v>
      </c>
      <c r="D14">
        <f>D4</f>
        <v>1.48</v>
      </c>
      <c r="E14">
        <f>D6</f>
        <v>1.4630000000000001</v>
      </c>
      <c r="F14">
        <f>D8</f>
        <v>1.383</v>
      </c>
      <c r="G14">
        <f>H4</f>
        <v>1.3919999999999999</v>
      </c>
      <c r="H14">
        <f>H6</f>
        <v>1.5069999999999999</v>
      </c>
      <c r="I14">
        <f>H8</f>
        <v>1.4590000000000001</v>
      </c>
      <c r="J14">
        <f>L4</f>
        <v>1.355</v>
      </c>
      <c r="K14">
        <f>L6</f>
        <v>1.25</v>
      </c>
      <c r="L14">
        <f>L8</f>
        <v>1.204</v>
      </c>
      <c r="Q14" s="58" t="s">
        <v>90</v>
      </c>
      <c r="R14">
        <f>D14-$D$13</f>
        <v>1.4373333333333334</v>
      </c>
      <c r="S14">
        <f t="shared" ref="S14:Y14" si="0">E14-$D$13</f>
        <v>1.4203333333333334</v>
      </c>
      <c r="T14">
        <f t="shared" si="0"/>
        <v>1.3403333333333334</v>
      </c>
      <c r="U14">
        <f t="shared" si="0"/>
        <v>1.3493333333333333</v>
      </c>
      <c r="V14">
        <f t="shared" si="0"/>
        <v>1.4643333333333333</v>
      </c>
      <c r="W14">
        <f t="shared" si="0"/>
        <v>1.4163333333333334</v>
      </c>
      <c r="X14">
        <f t="shared" si="0"/>
        <v>1.3123333333333334</v>
      </c>
      <c r="Y14">
        <f t="shared" si="0"/>
        <v>1.2073333333333334</v>
      </c>
      <c r="Z14">
        <f>L14-$D$13</f>
        <v>1.1613333333333333</v>
      </c>
      <c r="AE14" t="s">
        <v>91</v>
      </c>
      <c r="AF14">
        <f>AVERAGE(R14:Z14)</f>
        <v>1.3454444444444444</v>
      </c>
      <c r="AH14" t="s">
        <v>91</v>
      </c>
      <c r="AI14">
        <f>AVERAGE(R16:Z16)</f>
        <v>3.4888888888888886E-2</v>
      </c>
      <c r="AK14" s="59" t="s">
        <v>92</v>
      </c>
      <c r="AL14" s="59">
        <f>1- ((3*(AF15+AI15))/(AF14-AI14))</f>
        <v>0.7127175603174154</v>
      </c>
    </row>
    <row r="15" spans="2:38" x14ac:dyDescent="0.2">
      <c r="C15" s="58"/>
      <c r="G15" s="60"/>
      <c r="Q15" s="58"/>
      <c r="AE15" t="s">
        <v>93</v>
      </c>
      <c r="AF15">
        <f>STDEV(R14:Z14)</f>
        <v>0.10447540912153018</v>
      </c>
      <c r="AH15" t="s">
        <v>93</v>
      </c>
      <c r="AI15">
        <f>STDEV(R16:Z16)</f>
        <v>2.1024456658324805E-2</v>
      </c>
      <c r="AK15" s="59"/>
      <c r="AL15" s="59"/>
    </row>
    <row r="16" spans="2:38" x14ac:dyDescent="0.2">
      <c r="C16" s="58" t="s">
        <v>11</v>
      </c>
      <c r="D16">
        <f>D5</f>
        <v>0.129</v>
      </c>
      <c r="E16">
        <f>D7</f>
        <v>0.06</v>
      </c>
      <c r="F16">
        <f>D9</f>
        <v>0.06</v>
      </c>
      <c r="G16">
        <f>H5</f>
        <v>0.08</v>
      </c>
      <c r="H16">
        <f>H7</f>
        <v>7.8E-2</v>
      </c>
      <c r="I16">
        <f>H9</f>
        <v>6.7000000000000004E-2</v>
      </c>
      <c r="J16">
        <f>L5</f>
        <v>7.0000000000000007E-2</v>
      </c>
      <c r="K16">
        <f>L7</f>
        <v>8.4000000000000005E-2</v>
      </c>
      <c r="L16">
        <f>L9</f>
        <v>7.0000000000000007E-2</v>
      </c>
      <c r="Q16" s="58" t="s">
        <v>11</v>
      </c>
      <c r="R16">
        <f>D16-$D$13</f>
        <v>8.6333333333333331E-2</v>
      </c>
      <c r="S16">
        <f t="shared" ref="S16:Y16" si="1">E16-$D$13</f>
        <v>1.7333333333333326E-2</v>
      </c>
      <c r="T16">
        <f t="shared" si="1"/>
        <v>1.7333333333333326E-2</v>
      </c>
      <c r="U16">
        <f t="shared" si="1"/>
        <v>3.7333333333333329E-2</v>
      </c>
      <c r="V16">
        <f t="shared" si="1"/>
        <v>3.5333333333333328E-2</v>
      </c>
      <c r="W16">
        <f t="shared" si="1"/>
        <v>2.4333333333333332E-2</v>
      </c>
      <c r="X16">
        <f t="shared" si="1"/>
        <v>2.7333333333333334E-2</v>
      </c>
      <c r="Y16">
        <f t="shared" si="1"/>
        <v>4.1333333333333333E-2</v>
      </c>
      <c r="Z16">
        <f>L16-$D$13</f>
        <v>2.7333333333333334E-2</v>
      </c>
      <c r="AB16" s="58" t="s">
        <v>94</v>
      </c>
      <c r="AC16" s="58" t="s">
        <v>95</v>
      </c>
      <c r="AD16" s="58"/>
      <c r="AE16" t="s">
        <v>96</v>
      </c>
      <c r="AF16">
        <f>AF15*100/AF14</f>
        <v>7.7651224881804577</v>
      </c>
    </row>
    <row r="17" spans="3:32" x14ac:dyDescent="0.2">
      <c r="C17" s="58"/>
      <c r="D17" s="60"/>
      <c r="Q17" s="58"/>
      <c r="AB17" s="58"/>
      <c r="AC17" s="58"/>
      <c r="AD17" s="58"/>
      <c r="AE17" t="s">
        <v>97</v>
      </c>
      <c r="AF17">
        <f>3*AF15</f>
        <v>0.31342622736459053</v>
      </c>
    </row>
    <row r="18" spans="3:32" x14ac:dyDescent="0.2">
      <c r="C18" s="61" t="str">
        <f>S4</f>
        <v>CMU 1</v>
      </c>
      <c r="D18">
        <f>E4</f>
        <v>0.92200000000000004</v>
      </c>
      <c r="P18" s="60"/>
      <c r="Q18" s="62" t="str">
        <f>C18</f>
        <v>CMU 1</v>
      </c>
      <c r="R18">
        <f>D18-$D$13</f>
        <v>0.87933333333333341</v>
      </c>
      <c r="S18" s="60"/>
      <c r="Z18" s="60"/>
      <c r="AA18" s="62" t="str">
        <f>C18</f>
        <v>CMU 1</v>
      </c>
      <c r="AB18">
        <f>R18*100/$AF$14</f>
        <v>65.35634651911802</v>
      </c>
    </row>
    <row r="19" spans="3:32" x14ac:dyDescent="0.2">
      <c r="C19" s="61" t="str">
        <f>S5</f>
        <v>CMU 2</v>
      </c>
      <c r="D19">
        <f>E5</f>
        <v>0.94199999999999995</v>
      </c>
      <c r="P19" s="60"/>
      <c r="Q19" s="62" t="str">
        <f t="shared" ref="Q19:Q59" si="2">C19</f>
        <v>CMU 2</v>
      </c>
      <c r="R19">
        <f t="shared" ref="R19:R59" si="3">D19-$D$13</f>
        <v>0.89933333333333332</v>
      </c>
      <c r="S19" s="60"/>
      <c r="Z19" s="60"/>
      <c r="AA19" s="62" t="str">
        <f t="shared" ref="AA19:AA59" si="4">C19</f>
        <v>CMU 2</v>
      </c>
      <c r="AB19">
        <f t="shared" ref="AB19:AB58" si="5">R19*100/$AF$14</f>
        <v>66.842844165496743</v>
      </c>
    </row>
    <row r="20" spans="3:32" x14ac:dyDescent="0.2">
      <c r="C20" s="61" t="str">
        <f t="shared" ref="C20:C23" si="6">S6</f>
        <v>CMU 3</v>
      </c>
      <c r="D20">
        <f>E6</f>
        <v>1.0680000000000001</v>
      </c>
      <c r="P20" s="60"/>
      <c r="Q20" s="62" t="str">
        <f t="shared" si="2"/>
        <v>CMU 3</v>
      </c>
      <c r="R20">
        <f t="shared" si="3"/>
        <v>1.0253333333333334</v>
      </c>
      <c r="S20" s="60"/>
      <c r="Z20" s="60"/>
      <c r="AA20" s="62" t="str">
        <f t="shared" si="4"/>
        <v>CMU 3</v>
      </c>
      <c r="AB20">
        <f t="shared" si="5"/>
        <v>76.207779337682723</v>
      </c>
    </row>
    <row r="21" spans="3:32" x14ac:dyDescent="0.2">
      <c r="C21" s="61" t="str">
        <f t="shared" si="6"/>
        <v>CMU 4</v>
      </c>
      <c r="D21">
        <f>E7</f>
        <v>0.59599999999999997</v>
      </c>
      <c r="P21" s="60"/>
      <c r="Q21" s="62" t="str">
        <f>C21</f>
        <v>CMU 4</v>
      </c>
      <c r="R21">
        <f>D21-$D$13</f>
        <v>0.55333333333333334</v>
      </c>
      <c r="S21" s="60"/>
      <c r="Z21" s="60"/>
      <c r="AA21" s="62" t="str">
        <f t="shared" si="4"/>
        <v>CMU 4</v>
      </c>
      <c r="AB21">
        <f t="shared" si="5"/>
        <v>41.126434883144768</v>
      </c>
    </row>
    <row r="22" spans="3:32" x14ac:dyDescent="0.2">
      <c r="C22" s="61" t="str">
        <f t="shared" si="6"/>
        <v>CMU 5</v>
      </c>
      <c r="D22">
        <f t="shared" ref="D22" si="7">E8</f>
        <v>6.4000000000000001E-2</v>
      </c>
      <c r="P22" s="60"/>
      <c r="Q22" s="62" t="str">
        <f t="shared" si="2"/>
        <v>CMU 5</v>
      </c>
      <c r="R22">
        <f>D22-$D$13</f>
        <v>2.1333333333333329E-2</v>
      </c>
      <c r="S22" s="60"/>
      <c r="Z22" s="60"/>
      <c r="AA22" s="62" t="str">
        <f t="shared" si="4"/>
        <v>CMU 5</v>
      </c>
      <c r="AB22">
        <f t="shared" si="5"/>
        <v>1.5855974894706413</v>
      </c>
    </row>
    <row r="23" spans="3:32" x14ac:dyDescent="0.2">
      <c r="C23" s="61" t="str">
        <f t="shared" si="6"/>
        <v>CMU 6</v>
      </c>
      <c r="D23">
        <f>E9</f>
        <v>0.28100000000000003</v>
      </c>
      <c r="P23" s="60"/>
      <c r="Q23" s="62" t="str">
        <f t="shared" si="2"/>
        <v>CMU 6</v>
      </c>
      <c r="R23">
        <f t="shared" si="3"/>
        <v>0.23833333333333334</v>
      </c>
      <c r="S23" s="60"/>
      <c r="Z23" s="60"/>
      <c r="AA23" s="62" t="str">
        <f t="shared" si="4"/>
        <v>CMU 6</v>
      </c>
      <c r="AB23">
        <f t="shared" si="5"/>
        <v>17.714096952679828</v>
      </c>
    </row>
    <row r="24" spans="3:32" x14ac:dyDescent="0.2">
      <c r="C24" s="61" t="str">
        <f>T4</f>
        <v>CMU 7</v>
      </c>
      <c r="D24">
        <f>F4</f>
        <v>6.4000000000000001E-2</v>
      </c>
      <c r="P24" s="60"/>
      <c r="Q24" s="62" t="str">
        <f t="shared" si="2"/>
        <v>CMU 7</v>
      </c>
      <c r="R24">
        <f t="shared" si="3"/>
        <v>2.1333333333333329E-2</v>
      </c>
      <c r="S24" s="60"/>
      <c r="Z24" s="60"/>
      <c r="AA24" s="62" t="str">
        <f t="shared" si="4"/>
        <v>CMU 7</v>
      </c>
      <c r="AB24">
        <f t="shared" si="5"/>
        <v>1.5855974894706413</v>
      </c>
    </row>
    <row r="25" spans="3:32" x14ac:dyDescent="0.2">
      <c r="C25" s="61" t="str">
        <f t="shared" ref="C25:C28" si="8">T5</f>
        <v>CMU 8</v>
      </c>
      <c r="D25">
        <f>F5</f>
        <v>0.432</v>
      </c>
      <c r="P25" s="60"/>
      <c r="Q25" s="62" t="str">
        <f t="shared" si="2"/>
        <v>CMU 8</v>
      </c>
      <c r="R25">
        <f>D25-$D$13</f>
        <v>0.38933333333333331</v>
      </c>
      <c r="S25" s="60"/>
      <c r="Z25" s="60"/>
      <c r="AA25" s="62" t="str">
        <f t="shared" si="4"/>
        <v>CMU 8</v>
      </c>
      <c r="AB25">
        <f t="shared" si="5"/>
        <v>28.937154182839208</v>
      </c>
    </row>
    <row r="26" spans="3:32" x14ac:dyDescent="0.2">
      <c r="C26" s="61" t="str">
        <f t="shared" si="8"/>
        <v>CMU 9</v>
      </c>
      <c r="D26">
        <f t="shared" ref="D26:D28" si="9">F6</f>
        <v>0.876</v>
      </c>
      <c r="P26" s="60"/>
      <c r="Q26" s="62" t="str">
        <f t="shared" si="2"/>
        <v>CMU 9</v>
      </c>
      <c r="R26">
        <f t="shared" si="3"/>
        <v>0.83333333333333337</v>
      </c>
      <c r="S26" s="60"/>
      <c r="Z26" s="60"/>
      <c r="AA26" s="62" t="str">
        <f t="shared" si="4"/>
        <v>CMU 9</v>
      </c>
      <c r="AB26">
        <f t="shared" si="5"/>
        <v>61.937401932446946</v>
      </c>
    </row>
    <row r="27" spans="3:32" x14ac:dyDescent="0.2">
      <c r="C27" s="61" t="str">
        <f t="shared" si="8"/>
        <v>CMU 10</v>
      </c>
      <c r="D27">
        <f t="shared" si="9"/>
        <v>0.58199999999999996</v>
      </c>
      <c r="P27" s="60"/>
      <c r="Q27" s="62" t="str">
        <f t="shared" si="2"/>
        <v>CMU 10</v>
      </c>
      <c r="R27">
        <f t="shared" si="3"/>
        <v>0.53933333333333333</v>
      </c>
      <c r="S27" s="60"/>
      <c r="Z27" s="60"/>
      <c r="AA27" s="62" t="str">
        <f t="shared" si="4"/>
        <v>CMU 10</v>
      </c>
      <c r="AB27">
        <f t="shared" si="5"/>
        <v>40.085886530679659</v>
      </c>
    </row>
    <row r="28" spans="3:32" x14ac:dyDescent="0.2">
      <c r="C28" s="61" t="str">
        <f t="shared" si="8"/>
        <v>CMU 11</v>
      </c>
      <c r="D28">
        <f t="shared" si="9"/>
        <v>0.57799999999999996</v>
      </c>
      <c r="P28" s="60"/>
      <c r="Q28" s="62" t="str">
        <f t="shared" si="2"/>
        <v>CMU 11</v>
      </c>
      <c r="R28">
        <f t="shared" si="3"/>
        <v>0.53533333333333333</v>
      </c>
      <c r="S28" s="60"/>
      <c r="Z28" s="60"/>
      <c r="AA28" s="62" t="str">
        <f t="shared" si="4"/>
        <v>CMU 11</v>
      </c>
      <c r="AB28">
        <f t="shared" si="5"/>
        <v>39.788587001403911</v>
      </c>
    </row>
    <row r="29" spans="3:32" x14ac:dyDescent="0.2">
      <c r="C29" s="61" t="str">
        <f>T9</f>
        <v>CMU 12</v>
      </c>
      <c r="D29">
        <f>F9</f>
        <v>0.57399999999999995</v>
      </c>
      <c r="P29" s="60"/>
      <c r="Q29" s="62" t="str">
        <f t="shared" si="2"/>
        <v>CMU 12</v>
      </c>
      <c r="R29">
        <f t="shared" si="3"/>
        <v>0.53133333333333332</v>
      </c>
      <c r="S29" s="60"/>
      <c r="Z29" s="60"/>
      <c r="AA29" s="62" t="str">
        <f t="shared" si="4"/>
        <v>CMU 12</v>
      </c>
      <c r="AB29">
        <f t="shared" si="5"/>
        <v>39.491287472128171</v>
      </c>
    </row>
    <row r="30" spans="3:32" x14ac:dyDescent="0.2">
      <c r="C30" s="61" t="str">
        <f t="shared" ref="C30:C35" si="10">U4</f>
        <v>CMU 13</v>
      </c>
      <c r="D30">
        <f>G4</f>
        <v>0.16800000000000001</v>
      </c>
      <c r="P30" s="60"/>
      <c r="Q30" s="62" t="str">
        <f t="shared" si="2"/>
        <v>CMU 13</v>
      </c>
      <c r="R30">
        <f t="shared" si="3"/>
        <v>0.12533333333333335</v>
      </c>
      <c r="S30" s="60"/>
      <c r="Z30" s="60"/>
      <c r="AA30" s="62" t="str">
        <f t="shared" si="4"/>
        <v>CMU 13</v>
      </c>
      <c r="AB30">
        <f t="shared" si="5"/>
        <v>9.3153852506400217</v>
      </c>
    </row>
    <row r="31" spans="3:32" x14ac:dyDescent="0.2">
      <c r="C31" s="61" t="str">
        <f t="shared" si="10"/>
        <v>CMU 14</v>
      </c>
      <c r="D31">
        <f>G5</f>
        <v>0.49</v>
      </c>
      <c r="P31" s="60"/>
      <c r="Q31" s="62" t="str">
        <f t="shared" si="2"/>
        <v>CMU 14</v>
      </c>
      <c r="R31">
        <f t="shared" si="3"/>
        <v>0.44733333333333331</v>
      </c>
      <c r="S31" s="60"/>
      <c r="Z31" s="60"/>
      <c r="AA31" s="62" t="str">
        <f t="shared" si="4"/>
        <v>CMU 14</v>
      </c>
      <c r="AB31">
        <f t="shared" si="5"/>
        <v>33.24799735733751</v>
      </c>
    </row>
    <row r="32" spans="3:32" x14ac:dyDescent="0.2">
      <c r="C32" s="61" t="str">
        <f t="shared" si="10"/>
        <v>CMU 15</v>
      </c>
      <c r="D32">
        <f t="shared" ref="D32:D34" si="11">G6</f>
        <v>0.47499999999999998</v>
      </c>
      <c r="P32" s="60"/>
      <c r="Q32" s="62" t="str">
        <f t="shared" si="2"/>
        <v>CMU 15</v>
      </c>
      <c r="R32">
        <f t="shared" si="3"/>
        <v>0.43233333333333329</v>
      </c>
      <c r="S32" s="60"/>
      <c r="Z32" s="60"/>
      <c r="AA32" s="62" t="str">
        <f t="shared" si="4"/>
        <v>CMU 15</v>
      </c>
      <c r="AB32">
        <f t="shared" si="5"/>
        <v>32.133124122553468</v>
      </c>
    </row>
    <row r="33" spans="3:28" x14ac:dyDescent="0.2">
      <c r="C33" s="61" t="str">
        <f t="shared" si="10"/>
        <v>CMU 16</v>
      </c>
      <c r="D33">
        <f t="shared" si="11"/>
        <v>0.48399999999999999</v>
      </c>
      <c r="P33" s="60"/>
      <c r="Q33" s="62" t="str">
        <f t="shared" si="2"/>
        <v>CMU 16</v>
      </c>
      <c r="R33">
        <f t="shared" si="3"/>
        <v>0.4413333333333333</v>
      </c>
      <c r="S33" s="60"/>
      <c r="Z33" s="60"/>
      <c r="AA33" s="62" t="str">
        <f t="shared" si="4"/>
        <v>CMU 16</v>
      </c>
      <c r="AB33">
        <f t="shared" si="5"/>
        <v>32.802048063423896</v>
      </c>
    </row>
    <row r="34" spans="3:28" x14ac:dyDescent="0.2">
      <c r="C34" s="61" t="str">
        <f t="shared" si="10"/>
        <v>CMU 17</v>
      </c>
      <c r="D34">
        <f t="shared" si="11"/>
        <v>0.16900000000000001</v>
      </c>
      <c r="P34" s="60"/>
      <c r="Q34" s="62" t="str">
        <f t="shared" si="2"/>
        <v>CMU 17</v>
      </c>
      <c r="R34">
        <f t="shared" si="3"/>
        <v>0.12633333333333335</v>
      </c>
      <c r="S34" s="60"/>
      <c r="Z34" s="60"/>
      <c r="AA34" s="62" t="str">
        <f t="shared" si="4"/>
        <v>CMU 17</v>
      </c>
      <c r="AB34">
        <f t="shared" si="5"/>
        <v>9.3897101329589567</v>
      </c>
    </row>
    <row r="35" spans="3:28" x14ac:dyDescent="0.2">
      <c r="C35" s="61" t="str">
        <f t="shared" si="10"/>
        <v>CMU 18</v>
      </c>
      <c r="D35">
        <f>G9</f>
        <v>0.14099999999999999</v>
      </c>
      <c r="P35" s="60"/>
      <c r="Q35" s="62" t="str">
        <f t="shared" si="2"/>
        <v>CMU 18</v>
      </c>
      <c r="R35">
        <f t="shared" si="3"/>
        <v>9.8333333333333314E-2</v>
      </c>
      <c r="S35" s="60"/>
      <c r="Z35" s="60"/>
      <c r="AA35" s="62" t="str">
        <f t="shared" si="4"/>
        <v>CMU 18</v>
      </c>
      <c r="AB35">
        <f t="shared" si="5"/>
        <v>7.308613428028738</v>
      </c>
    </row>
    <row r="36" spans="3:28" x14ac:dyDescent="0.2">
      <c r="C36" s="61" t="str">
        <f>W4</f>
        <v>CMU 19</v>
      </c>
      <c r="D36">
        <f>I4</f>
        <v>0.29199999999999998</v>
      </c>
      <c r="P36" s="60"/>
      <c r="Q36" s="62" t="str">
        <f t="shared" si="2"/>
        <v>CMU 19</v>
      </c>
      <c r="R36">
        <f t="shared" si="3"/>
        <v>0.2493333333333333</v>
      </c>
      <c r="S36" s="60"/>
      <c r="Z36" s="60"/>
      <c r="AA36" s="62" t="str">
        <f t="shared" si="4"/>
        <v>CMU 19</v>
      </c>
      <c r="AB36">
        <f t="shared" si="5"/>
        <v>18.531670658188123</v>
      </c>
    </row>
    <row r="37" spans="3:28" x14ac:dyDescent="0.2">
      <c r="C37" s="61" t="str">
        <f t="shared" ref="C37:C40" si="12">W5</f>
        <v>CMU 20</v>
      </c>
      <c r="D37">
        <f>I5</f>
        <v>6.6000000000000003E-2</v>
      </c>
      <c r="P37" s="60"/>
      <c r="Q37" s="62" t="str">
        <f t="shared" si="2"/>
        <v>CMU 20</v>
      </c>
      <c r="R37">
        <f t="shared" si="3"/>
        <v>2.3333333333333331E-2</v>
      </c>
      <c r="S37" s="60"/>
      <c r="Z37" s="60"/>
      <c r="AA37" s="62" t="str">
        <f t="shared" si="4"/>
        <v>CMU 20</v>
      </c>
      <c r="AB37">
        <f t="shared" si="5"/>
        <v>1.7342472541085141</v>
      </c>
    </row>
    <row r="38" spans="3:28" x14ac:dyDescent="0.2">
      <c r="C38" s="61" t="str">
        <f t="shared" si="12"/>
        <v>CMU 21</v>
      </c>
      <c r="D38">
        <f t="shared" ref="D38:D40" si="13">I6</f>
        <v>0.48699999999999999</v>
      </c>
      <c r="P38" s="60"/>
      <c r="Q38" s="62" t="str">
        <f t="shared" si="2"/>
        <v>CMU 21</v>
      </c>
      <c r="R38">
        <f>D38-$D$13</f>
        <v>0.4443333333333333</v>
      </c>
      <c r="S38" s="60"/>
      <c r="Z38" s="60"/>
      <c r="AA38" s="62" t="str">
        <f t="shared" si="4"/>
        <v>CMU 21</v>
      </c>
      <c r="AB38">
        <f t="shared" si="5"/>
        <v>33.025022710380703</v>
      </c>
    </row>
    <row r="39" spans="3:28" x14ac:dyDescent="0.2">
      <c r="C39" s="61" t="str">
        <f t="shared" si="12"/>
        <v>CMU 22</v>
      </c>
      <c r="D39">
        <f t="shared" si="13"/>
        <v>0.77600000000000002</v>
      </c>
      <c r="P39" s="60"/>
      <c r="Q39" s="62" t="str">
        <f t="shared" si="2"/>
        <v>CMU 22</v>
      </c>
      <c r="R39">
        <f t="shared" si="3"/>
        <v>0.73333333333333339</v>
      </c>
      <c r="S39" s="60"/>
      <c r="Z39" s="60"/>
      <c r="AA39" s="62" t="str">
        <f t="shared" si="4"/>
        <v>CMU 22</v>
      </c>
      <c r="AB39">
        <f t="shared" si="5"/>
        <v>54.504913700553317</v>
      </c>
    </row>
    <row r="40" spans="3:28" x14ac:dyDescent="0.2">
      <c r="C40" s="61" t="str">
        <f t="shared" si="12"/>
        <v>CMU 23</v>
      </c>
      <c r="D40">
        <f t="shared" si="13"/>
        <v>0.49399999999999999</v>
      </c>
      <c r="P40" s="60"/>
      <c r="Q40" s="62" t="str">
        <f t="shared" si="2"/>
        <v>CMU 23</v>
      </c>
      <c r="R40">
        <f t="shared" si="3"/>
        <v>0.45133333333333331</v>
      </c>
      <c r="S40" s="60"/>
      <c r="Z40" s="60"/>
      <c r="AA40" s="62" t="str">
        <f t="shared" si="4"/>
        <v>CMU 23</v>
      </c>
      <c r="AB40">
        <f t="shared" si="5"/>
        <v>33.545296886613265</v>
      </c>
    </row>
    <row r="41" spans="3:28" x14ac:dyDescent="0.2">
      <c r="C41" s="61" t="str">
        <f>W9</f>
        <v>CMU 24</v>
      </c>
      <c r="D41">
        <f>I9</f>
        <v>0.46899999999999997</v>
      </c>
      <c r="P41" s="60"/>
      <c r="Q41" s="62" t="str">
        <f t="shared" si="2"/>
        <v>CMU 24</v>
      </c>
      <c r="R41">
        <f t="shared" si="3"/>
        <v>0.42633333333333329</v>
      </c>
      <c r="S41" s="60"/>
      <c r="Z41" s="60"/>
      <c r="AA41" s="62" t="str">
        <f t="shared" si="4"/>
        <v>CMU 24</v>
      </c>
      <c r="AB41">
        <f t="shared" si="5"/>
        <v>31.687174828639851</v>
      </c>
    </row>
    <row r="42" spans="3:28" x14ac:dyDescent="0.2">
      <c r="C42" s="61" t="str">
        <f t="shared" ref="C42:C47" si="14">X4</f>
        <v>CMU 25</v>
      </c>
      <c r="D42">
        <f>J4</f>
        <v>0.15</v>
      </c>
      <c r="P42" s="60"/>
      <c r="Q42" s="62" t="str">
        <f t="shared" si="2"/>
        <v>CMU 25</v>
      </c>
      <c r="R42">
        <f t="shared" si="3"/>
        <v>0.10733333333333332</v>
      </c>
      <c r="S42" s="60"/>
      <c r="Z42" s="60"/>
      <c r="AA42" s="62" t="str">
        <f t="shared" si="4"/>
        <v>CMU 25</v>
      </c>
      <c r="AB42">
        <f t="shared" si="5"/>
        <v>7.9775373688991653</v>
      </c>
    </row>
    <row r="43" spans="3:28" x14ac:dyDescent="0.2">
      <c r="C43" s="61" t="str">
        <f t="shared" si="14"/>
        <v>CMU 26</v>
      </c>
      <c r="D43">
        <f>J5</f>
        <v>0.30299999999999999</v>
      </c>
      <c r="P43" s="60"/>
      <c r="Q43" s="62" t="str">
        <f t="shared" si="2"/>
        <v>CMU 26</v>
      </c>
      <c r="R43">
        <f t="shared" si="3"/>
        <v>0.26033333333333331</v>
      </c>
      <c r="S43" s="60"/>
      <c r="Z43" s="60"/>
      <c r="AA43" s="62" t="str">
        <f t="shared" si="4"/>
        <v>CMU 26</v>
      </c>
      <c r="AB43">
        <f t="shared" si="5"/>
        <v>19.349244363696421</v>
      </c>
    </row>
    <row r="44" spans="3:28" x14ac:dyDescent="0.2">
      <c r="C44" s="61" t="str">
        <f t="shared" si="14"/>
        <v>CMU 27</v>
      </c>
      <c r="D44">
        <f t="shared" ref="D44:D46" si="15">J6</f>
        <v>0.34599999999999997</v>
      </c>
      <c r="P44" s="60"/>
      <c r="Q44" s="62" t="str">
        <f t="shared" si="2"/>
        <v>CMU 27</v>
      </c>
      <c r="R44">
        <f t="shared" si="3"/>
        <v>0.30333333333333329</v>
      </c>
      <c r="S44" s="60"/>
      <c r="Z44" s="60"/>
      <c r="AA44" s="62" t="str">
        <f t="shared" si="4"/>
        <v>CMU 27</v>
      </c>
      <c r="AB44">
        <f t="shared" si="5"/>
        <v>22.545214303410681</v>
      </c>
    </row>
    <row r="45" spans="3:28" x14ac:dyDescent="0.2">
      <c r="C45" s="61" t="str">
        <f t="shared" si="14"/>
        <v>CMU 28</v>
      </c>
      <c r="D45">
        <f t="shared" si="15"/>
        <v>0.24099999999999999</v>
      </c>
      <c r="P45" s="60"/>
      <c r="Q45" s="62" t="str">
        <f t="shared" si="2"/>
        <v>CMU 28</v>
      </c>
      <c r="R45">
        <f t="shared" si="3"/>
        <v>0.19833333333333331</v>
      </c>
      <c r="S45" s="60"/>
      <c r="Z45" s="60"/>
      <c r="AA45" s="62" t="str">
        <f t="shared" si="4"/>
        <v>CMU 28</v>
      </c>
      <c r="AB45">
        <f t="shared" si="5"/>
        <v>14.741101659922371</v>
      </c>
    </row>
    <row r="46" spans="3:28" x14ac:dyDescent="0.2">
      <c r="C46" s="61" t="str">
        <f t="shared" si="14"/>
        <v>CMU 29</v>
      </c>
      <c r="D46">
        <f t="shared" si="15"/>
        <v>4.3999999999999997E-2</v>
      </c>
      <c r="P46" s="60"/>
      <c r="Q46" s="62" t="str">
        <f t="shared" si="2"/>
        <v>CMU 29</v>
      </c>
      <c r="R46">
        <f t="shared" si="3"/>
        <v>1.3333333333333253E-3</v>
      </c>
      <c r="S46" s="60"/>
      <c r="Z46" s="60"/>
      <c r="AA46" s="62" t="str">
        <f t="shared" si="4"/>
        <v>CMU 29</v>
      </c>
      <c r="AB46">
        <f t="shared" si="5"/>
        <v>9.9099843091914511E-2</v>
      </c>
    </row>
    <row r="47" spans="3:28" x14ac:dyDescent="0.2">
      <c r="C47" s="61" t="str">
        <f t="shared" si="14"/>
        <v>CMU 30</v>
      </c>
      <c r="D47">
        <f>J9</f>
        <v>0.221</v>
      </c>
      <c r="P47" s="60"/>
      <c r="Q47" s="62" t="str">
        <f t="shared" si="2"/>
        <v>CMU 30</v>
      </c>
      <c r="R47">
        <f t="shared" si="3"/>
        <v>0.17833333333333334</v>
      </c>
      <c r="S47" s="60"/>
      <c r="Z47" s="60"/>
      <c r="AA47" s="62" t="str">
        <f t="shared" si="4"/>
        <v>CMU 30</v>
      </c>
      <c r="AB47">
        <f t="shared" si="5"/>
        <v>13.254604013543647</v>
      </c>
    </row>
    <row r="48" spans="3:28" x14ac:dyDescent="0.2">
      <c r="C48" s="61" t="str">
        <f t="shared" ref="C48:C53" si="16">Y4</f>
        <v>CMU 31</v>
      </c>
      <c r="D48">
        <f>K4</f>
        <v>0.34399999999999997</v>
      </c>
      <c r="P48" s="60"/>
      <c r="Q48" s="62" t="str">
        <f t="shared" si="2"/>
        <v>CMU 31</v>
      </c>
      <c r="R48">
        <f t="shared" si="3"/>
        <v>0.30133333333333329</v>
      </c>
      <c r="S48" s="60"/>
      <c r="Z48" s="60"/>
      <c r="AA48" s="62" t="str">
        <f t="shared" si="4"/>
        <v>CMU 31</v>
      </c>
      <c r="AB48">
        <f t="shared" si="5"/>
        <v>22.396564538772811</v>
      </c>
    </row>
    <row r="49" spans="2:28" x14ac:dyDescent="0.2">
      <c r="C49" s="61" t="str">
        <f t="shared" si="16"/>
        <v>CMU 32</v>
      </c>
      <c r="D49">
        <f>K5</f>
        <v>0.14399999999999999</v>
      </c>
      <c r="P49" s="60"/>
      <c r="Q49" s="62" t="str">
        <f t="shared" si="2"/>
        <v>CMU 32</v>
      </c>
      <c r="R49">
        <f t="shared" si="3"/>
        <v>0.10133333333333332</v>
      </c>
      <c r="S49" s="60"/>
      <c r="Z49" s="60"/>
      <c r="AA49" s="62" t="str">
        <f t="shared" si="4"/>
        <v>CMU 32</v>
      </c>
      <c r="AB49">
        <f t="shared" si="5"/>
        <v>7.5315880749855459</v>
      </c>
    </row>
    <row r="50" spans="2:28" x14ac:dyDescent="0.2">
      <c r="C50" s="61" t="str">
        <f t="shared" si="16"/>
        <v>CMU 33</v>
      </c>
      <c r="D50">
        <f t="shared" ref="D50:D52" si="17">K6</f>
        <v>0.63500000000000001</v>
      </c>
      <c r="P50" s="60"/>
      <c r="Q50" s="62" t="str">
        <f t="shared" si="2"/>
        <v>CMU 33</v>
      </c>
      <c r="R50">
        <f t="shared" si="3"/>
        <v>0.59233333333333338</v>
      </c>
      <c r="S50" s="60"/>
      <c r="Z50" s="60"/>
      <c r="AA50" s="62" t="str">
        <f t="shared" si="4"/>
        <v>CMU 33</v>
      </c>
      <c r="AB50">
        <f t="shared" si="5"/>
        <v>44.025105293583287</v>
      </c>
    </row>
    <row r="51" spans="2:28" x14ac:dyDescent="0.2">
      <c r="C51" s="61" t="str">
        <f t="shared" si="16"/>
        <v>CMU 34</v>
      </c>
      <c r="D51">
        <f t="shared" si="17"/>
        <v>0.51300000000000001</v>
      </c>
      <c r="P51" s="60"/>
      <c r="Q51" s="62" t="str">
        <f t="shared" si="2"/>
        <v>CMU 34</v>
      </c>
      <c r="R51">
        <f t="shared" si="3"/>
        <v>0.47033333333333333</v>
      </c>
      <c r="S51" s="60"/>
      <c r="Z51" s="60"/>
      <c r="AA51" s="62" t="str">
        <f t="shared" si="4"/>
        <v>CMU 34</v>
      </c>
      <c r="AB51">
        <f t="shared" si="5"/>
        <v>34.957469650673055</v>
      </c>
    </row>
    <row r="52" spans="2:28" x14ac:dyDescent="0.2">
      <c r="C52" s="61" t="str">
        <f t="shared" si="16"/>
        <v>CMU 35</v>
      </c>
      <c r="D52">
        <f t="shared" si="17"/>
        <v>0.78800000000000003</v>
      </c>
      <c r="P52" s="60"/>
      <c r="Q52" s="62" t="str">
        <f t="shared" si="2"/>
        <v>CMU 35</v>
      </c>
      <c r="R52">
        <f t="shared" si="3"/>
        <v>0.7453333333333334</v>
      </c>
      <c r="S52" s="60"/>
      <c r="Z52" s="60"/>
      <c r="AA52" s="62" t="str">
        <f t="shared" si="4"/>
        <v>CMU 35</v>
      </c>
      <c r="AB52">
        <f t="shared" si="5"/>
        <v>55.396812288380552</v>
      </c>
    </row>
    <row r="53" spans="2:28" x14ac:dyDescent="0.2">
      <c r="C53" s="61" t="str">
        <f t="shared" si="16"/>
        <v>CMU 36</v>
      </c>
      <c r="D53">
        <f>K9</f>
        <v>0.439</v>
      </c>
      <c r="P53" s="60"/>
      <c r="Q53" s="62" t="str">
        <f t="shared" si="2"/>
        <v>CMU 36</v>
      </c>
      <c r="R53">
        <f t="shared" si="3"/>
        <v>0.39633333333333332</v>
      </c>
      <c r="S53" s="60"/>
      <c r="Z53" s="60"/>
      <c r="AA53" s="62" t="str">
        <f t="shared" si="4"/>
        <v>CMU 36</v>
      </c>
      <c r="AB53">
        <f t="shared" si="5"/>
        <v>29.457428359071763</v>
      </c>
    </row>
    <row r="54" spans="2:28" x14ac:dyDescent="0.2">
      <c r="C54" s="61" t="str">
        <f>AA4</f>
        <v>CMU 37</v>
      </c>
      <c r="D54">
        <f>M4</f>
        <v>0.129</v>
      </c>
      <c r="P54" s="60"/>
      <c r="Q54" s="62" t="str">
        <f t="shared" si="2"/>
        <v>CMU 37</v>
      </c>
      <c r="R54">
        <f t="shared" si="3"/>
        <v>8.6333333333333331E-2</v>
      </c>
      <c r="S54" s="60"/>
      <c r="Z54" s="60"/>
      <c r="AA54" s="62" t="str">
        <f t="shared" si="4"/>
        <v>CMU 37</v>
      </c>
      <c r="AB54">
        <f t="shared" si="5"/>
        <v>6.4167148402015028</v>
      </c>
    </row>
    <row r="55" spans="2:28" x14ac:dyDescent="0.2">
      <c r="C55" s="61" t="str">
        <f t="shared" ref="C55:C59" si="18">AA5</f>
        <v>CMU 38</v>
      </c>
      <c r="D55">
        <f>M5</f>
        <v>0.42</v>
      </c>
      <c r="P55" s="60"/>
      <c r="Q55" s="62" t="str">
        <f t="shared" si="2"/>
        <v>CMU 38</v>
      </c>
      <c r="R55">
        <f t="shared" si="3"/>
        <v>0.3773333333333333</v>
      </c>
      <c r="Z55" s="60"/>
      <c r="AA55" s="62" t="str">
        <f t="shared" si="4"/>
        <v>CMU 38</v>
      </c>
      <c r="AB55">
        <f t="shared" si="5"/>
        <v>28.04525559501197</v>
      </c>
    </row>
    <row r="56" spans="2:28" x14ac:dyDescent="0.2">
      <c r="C56" s="61" t="str">
        <f t="shared" si="18"/>
        <v>CMU 39</v>
      </c>
      <c r="D56">
        <f t="shared" ref="D56:D58" si="19">M6</f>
        <v>0.377</v>
      </c>
      <c r="P56" s="60"/>
      <c r="Q56" s="62" t="str">
        <f t="shared" si="2"/>
        <v>CMU 39</v>
      </c>
      <c r="R56">
        <f t="shared" si="3"/>
        <v>0.33433333333333332</v>
      </c>
      <c r="S56" s="58"/>
      <c r="Z56" s="60"/>
      <c r="AA56" s="62" t="str">
        <f t="shared" si="4"/>
        <v>CMU 39</v>
      </c>
      <c r="AB56">
        <f t="shared" si="5"/>
        <v>24.849285655297709</v>
      </c>
    </row>
    <row r="57" spans="2:28" x14ac:dyDescent="0.2">
      <c r="C57" s="61" t="str">
        <f t="shared" si="18"/>
        <v>CMU 40</v>
      </c>
      <c r="D57">
        <f t="shared" si="19"/>
        <v>0.19700000000000001</v>
      </c>
      <c r="P57" s="60"/>
      <c r="Q57" s="62" t="str">
        <f t="shared" si="2"/>
        <v>CMU 40</v>
      </c>
      <c r="R57">
        <f t="shared" si="3"/>
        <v>0.15433333333333332</v>
      </c>
      <c r="Z57" s="60"/>
      <c r="AA57" s="62" t="str">
        <f t="shared" si="4"/>
        <v>CMU 40</v>
      </c>
      <c r="AB57">
        <f t="shared" si="5"/>
        <v>11.470806837889173</v>
      </c>
    </row>
    <row r="58" spans="2:28" x14ac:dyDescent="0.2">
      <c r="C58" s="61" t="str">
        <f t="shared" si="18"/>
        <v>CMU 41</v>
      </c>
      <c r="D58">
        <f t="shared" si="19"/>
        <v>0.93799999999999994</v>
      </c>
      <c r="P58" s="60"/>
      <c r="Q58" s="62" t="str">
        <f t="shared" si="2"/>
        <v>CMU 41</v>
      </c>
      <c r="R58">
        <f t="shared" si="3"/>
        <v>0.89533333333333331</v>
      </c>
      <c r="Z58" s="60"/>
      <c r="AA58" s="62" t="str">
        <f t="shared" si="4"/>
        <v>CMU 41</v>
      </c>
      <c r="AB58">
        <f t="shared" si="5"/>
        <v>66.545544636220995</v>
      </c>
    </row>
    <row r="59" spans="2:28" x14ac:dyDescent="0.2">
      <c r="C59" s="61" t="str">
        <f t="shared" si="18"/>
        <v>CMU 42</v>
      </c>
      <c r="D59">
        <f>M9</f>
        <v>0.78400000000000003</v>
      </c>
      <c r="P59" s="60"/>
      <c r="Q59" s="62" t="str">
        <f t="shared" si="2"/>
        <v>CMU 42</v>
      </c>
      <c r="R59">
        <f t="shared" si="3"/>
        <v>0.7413333333333334</v>
      </c>
      <c r="Z59" s="60"/>
      <c r="AA59" s="62" t="str">
        <f t="shared" si="4"/>
        <v>CMU 42</v>
      </c>
      <c r="AB59">
        <f>R59*100/$AF$14</f>
        <v>55.099512759104805</v>
      </c>
    </row>
    <row r="61" spans="2:28" x14ac:dyDescent="0.2">
      <c r="B61" s="7" t="s">
        <v>137</v>
      </c>
      <c r="C61" s="40">
        <v>45364</v>
      </c>
      <c r="D61" s="7" t="s">
        <v>112</v>
      </c>
      <c r="E61" s="41"/>
    </row>
    <row r="62" spans="2:28" x14ac:dyDescent="0.2">
      <c r="B62" s="42"/>
      <c r="C62" s="42">
        <v>1</v>
      </c>
      <c r="D62" s="42">
        <v>2</v>
      </c>
      <c r="E62" s="42">
        <v>3</v>
      </c>
      <c r="F62" s="42">
        <v>4</v>
      </c>
      <c r="G62" s="42">
        <v>5</v>
      </c>
      <c r="H62" s="42">
        <v>6</v>
      </c>
      <c r="I62" s="42">
        <v>7</v>
      </c>
      <c r="J62" s="42">
        <v>8</v>
      </c>
      <c r="K62" s="42">
        <v>9</v>
      </c>
      <c r="L62" s="42">
        <v>10</v>
      </c>
      <c r="M62" s="42">
        <v>11</v>
      </c>
      <c r="N62" s="42">
        <v>12</v>
      </c>
      <c r="Q62" s="1">
        <v>1</v>
      </c>
      <c r="R62" s="1">
        <v>2</v>
      </c>
      <c r="S62" s="1">
        <v>3</v>
      </c>
      <c r="T62" s="1">
        <v>4</v>
      </c>
      <c r="U62" s="1">
        <v>5</v>
      </c>
      <c r="V62" s="1">
        <v>6</v>
      </c>
      <c r="W62" s="1">
        <v>7</v>
      </c>
      <c r="X62" s="1">
        <v>8</v>
      </c>
      <c r="Y62" s="1">
        <v>9</v>
      </c>
      <c r="Z62" s="1">
        <v>10</v>
      </c>
      <c r="AA62" s="1">
        <v>11</v>
      </c>
      <c r="AB62" s="1">
        <v>12</v>
      </c>
    </row>
    <row r="63" spans="2:28" x14ac:dyDescent="0.2">
      <c r="B63" s="43" t="s">
        <v>0</v>
      </c>
      <c r="C63" s="44">
        <v>4.1000000000000002E-2</v>
      </c>
      <c r="D63" s="44">
        <v>4.9000000000000002E-2</v>
      </c>
      <c r="E63" s="44">
        <v>4.2999999999999997E-2</v>
      </c>
      <c r="F63" s="44">
        <v>4.2000000000000003E-2</v>
      </c>
      <c r="G63" s="44">
        <v>4.2000000000000003E-2</v>
      </c>
      <c r="H63" s="44">
        <v>4.1000000000000002E-2</v>
      </c>
      <c r="I63" s="44">
        <v>4.1000000000000002E-2</v>
      </c>
      <c r="J63" s="44">
        <v>4.1000000000000002E-2</v>
      </c>
      <c r="K63" s="44">
        <v>4.5999999999999999E-2</v>
      </c>
      <c r="L63" s="44">
        <v>4.1000000000000002E-2</v>
      </c>
      <c r="M63" s="44">
        <v>4.1000000000000002E-2</v>
      </c>
      <c r="N63" s="44">
        <v>4.1000000000000002E-2</v>
      </c>
      <c r="O63" s="18">
        <v>570</v>
      </c>
      <c r="P63" s="1" t="s">
        <v>0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2:28" x14ac:dyDescent="0.2">
      <c r="B64" s="43" t="s">
        <v>1</v>
      </c>
      <c r="C64" s="44">
        <v>4.2000000000000003E-2</v>
      </c>
      <c r="D64" s="49">
        <v>1.35</v>
      </c>
      <c r="E64" s="53">
        <v>0.83699999999999997</v>
      </c>
      <c r="F64" s="53">
        <v>0.80900000000000005</v>
      </c>
      <c r="G64" s="53">
        <v>0.81200000000000006</v>
      </c>
      <c r="H64" s="121">
        <v>1.2470000000000001</v>
      </c>
      <c r="I64" s="121">
        <v>1.2869999999999999</v>
      </c>
      <c r="J64" s="55">
        <v>1.1950000000000001</v>
      </c>
      <c r="K64" s="121">
        <v>1.2430000000000001</v>
      </c>
      <c r="L64" s="49">
        <v>1.35</v>
      </c>
      <c r="M64" s="121">
        <v>1.232</v>
      </c>
      <c r="N64" s="44">
        <v>4.2999999999999997E-2</v>
      </c>
      <c r="O64" s="18">
        <v>570</v>
      </c>
      <c r="P64" s="1" t="s">
        <v>1</v>
      </c>
      <c r="Q64" s="2"/>
      <c r="R64" s="3" t="s">
        <v>2</v>
      </c>
      <c r="S64" s="4" t="s">
        <v>114</v>
      </c>
      <c r="T64" s="4" t="s">
        <v>114</v>
      </c>
      <c r="U64" s="4" t="s">
        <v>114</v>
      </c>
      <c r="V64" s="3" t="s">
        <v>2</v>
      </c>
      <c r="W64" s="123">
        <v>0</v>
      </c>
      <c r="X64" s="123">
        <v>0</v>
      </c>
      <c r="Y64" s="123">
        <v>0</v>
      </c>
      <c r="Z64" s="3" t="s">
        <v>2</v>
      </c>
      <c r="AA64" s="123">
        <v>0</v>
      </c>
      <c r="AB64" s="5"/>
    </row>
    <row r="65" spans="2:38" x14ac:dyDescent="0.2">
      <c r="B65" s="43" t="s">
        <v>10</v>
      </c>
      <c r="C65" s="44">
        <v>4.1000000000000002E-2</v>
      </c>
      <c r="D65" s="44">
        <v>0.10199999999999999</v>
      </c>
      <c r="E65" s="53">
        <v>0.81499999999999995</v>
      </c>
      <c r="F65" s="46">
        <v>0.875</v>
      </c>
      <c r="G65" s="53">
        <v>0.754</v>
      </c>
      <c r="H65" s="44">
        <v>0.127</v>
      </c>
      <c r="I65" s="121">
        <v>1.2809999999999999</v>
      </c>
      <c r="J65" s="121">
        <v>1.232</v>
      </c>
      <c r="K65" s="121">
        <v>1.282</v>
      </c>
      <c r="L65" s="44">
        <v>0.1</v>
      </c>
      <c r="M65" s="121">
        <v>1.296</v>
      </c>
      <c r="N65" s="44">
        <v>4.2000000000000003E-2</v>
      </c>
      <c r="O65" s="18">
        <v>570</v>
      </c>
      <c r="P65" s="1" t="s">
        <v>10</v>
      </c>
      <c r="Q65" s="2"/>
      <c r="R65" s="6" t="s">
        <v>11</v>
      </c>
      <c r="S65" s="4" t="s">
        <v>115</v>
      </c>
      <c r="T65" s="4" t="s">
        <v>115</v>
      </c>
      <c r="U65" s="4" t="s">
        <v>115</v>
      </c>
      <c r="V65" s="6" t="s">
        <v>11</v>
      </c>
      <c r="W65" s="123">
        <v>0</v>
      </c>
      <c r="X65" s="123">
        <v>0</v>
      </c>
      <c r="Y65" s="123">
        <v>0</v>
      </c>
      <c r="Z65" s="6" t="s">
        <v>11</v>
      </c>
      <c r="AA65" s="123">
        <v>0</v>
      </c>
      <c r="AB65" s="5"/>
    </row>
    <row r="66" spans="2:38" x14ac:dyDescent="0.2">
      <c r="B66" s="43" t="s">
        <v>19</v>
      </c>
      <c r="C66" s="44">
        <v>4.2000000000000003E-2</v>
      </c>
      <c r="D66" s="121">
        <v>1.32</v>
      </c>
      <c r="E66" s="56">
        <v>0.99099999999999999</v>
      </c>
      <c r="F66" s="46">
        <v>0.97</v>
      </c>
      <c r="G66" s="46">
        <v>0.88300000000000001</v>
      </c>
      <c r="H66" s="45">
        <v>1.4530000000000001</v>
      </c>
      <c r="I66" s="121">
        <v>1.244</v>
      </c>
      <c r="J66" s="121">
        <v>1.238</v>
      </c>
      <c r="K66" s="121">
        <v>1.31</v>
      </c>
      <c r="L66" s="49">
        <v>1.397</v>
      </c>
      <c r="M66" s="55">
        <v>1.19</v>
      </c>
      <c r="N66" s="44">
        <v>4.2999999999999997E-2</v>
      </c>
      <c r="O66" s="18">
        <v>570</v>
      </c>
      <c r="P66" s="1" t="s">
        <v>19</v>
      </c>
      <c r="Q66" s="2"/>
      <c r="R66" s="3" t="s">
        <v>2</v>
      </c>
      <c r="S66" s="4" t="s">
        <v>116</v>
      </c>
      <c r="T66" s="4" t="s">
        <v>116</v>
      </c>
      <c r="U66" s="4" t="s">
        <v>116</v>
      </c>
      <c r="V66" s="3" t="s">
        <v>2</v>
      </c>
      <c r="W66" s="123">
        <v>0</v>
      </c>
      <c r="X66" s="123">
        <v>0</v>
      </c>
      <c r="Y66" s="123">
        <v>0</v>
      </c>
      <c r="Z66" s="3" t="s">
        <v>2</v>
      </c>
      <c r="AA66" s="123">
        <v>0</v>
      </c>
      <c r="AB66" s="5"/>
    </row>
    <row r="67" spans="2:38" x14ac:dyDescent="0.2">
      <c r="B67" s="43" t="s">
        <v>27</v>
      </c>
      <c r="C67" s="44">
        <v>4.1000000000000002E-2</v>
      </c>
      <c r="D67" s="44">
        <v>9.0999999999999998E-2</v>
      </c>
      <c r="E67" s="46">
        <v>0.94199999999999995</v>
      </c>
      <c r="F67" s="56">
        <v>1.0529999999999999</v>
      </c>
      <c r="G67" s="46">
        <v>0.95499999999999996</v>
      </c>
      <c r="H67" s="44">
        <v>0.124</v>
      </c>
      <c r="I67" s="49">
        <v>1.3520000000000001</v>
      </c>
      <c r="J67" s="45">
        <v>1.5229999999999999</v>
      </c>
      <c r="K67" s="49">
        <v>1.3660000000000001</v>
      </c>
      <c r="L67" s="44">
        <v>7.3999999999999996E-2</v>
      </c>
      <c r="M67" s="49">
        <v>1.3580000000000001</v>
      </c>
      <c r="N67" s="44">
        <v>4.1000000000000002E-2</v>
      </c>
      <c r="O67" s="18">
        <v>570</v>
      </c>
      <c r="P67" s="1" t="s">
        <v>27</v>
      </c>
      <c r="Q67" s="2"/>
      <c r="R67" s="6" t="s">
        <v>11</v>
      </c>
      <c r="S67" s="4" t="s">
        <v>117</v>
      </c>
      <c r="T67" s="4" t="s">
        <v>117</v>
      </c>
      <c r="U67" s="4" t="s">
        <v>117</v>
      </c>
      <c r="V67" s="6" t="s">
        <v>11</v>
      </c>
      <c r="W67" s="123">
        <v>0</v>
      </c>
      <c r="X67" s="123">
        <v>0</v>
      </c>
      <c r="Y67" s="123">
        <v>0</v>
      </c>
      <c r="Z67" s="6" t="s">
        <v>11</v>
      </c>
      <c r="AA67" s="123">
        <v>0</v>
      </c>
      <c r="AB67" s="5"/>
    </row>
    <row r="68" spans="2:38" x14ac:dyDescent="0.2">
      <c r="B68" s="43" t="s">
        <v>35</v>
      </c>
      <c r="C68" s="44">
        <v>4.2000000000000003E-2</v>
      </c>
      <c r="D68" s="54">
        <v>1.5629999999999999</v>
      </c>
      <c r="E68" s="49">
        <v>1.3620000000000001</v>
      </c>
      <c r="F68" s="54">
        <v>1.681</v>
      </c>
      <c r="G68" s="45">
        <v>1.512</v>
      </c>
      <c r="H68" s="45">
        <v>1.518</v>
      </c>
      <c r="I68" s="45">
        <v>1.474</v>
      </c>
      <c r="J68" s="45">
        <v>1.4550000000000001</v>
      </c>
      <c r="K68" s="49">
        <v>1.3580000000000001</v>
      </c>
      <c r="L68" s="45">
        <v>1.5109999999999999</v>
      </c>
      <c r="M68" s="45">
        <v>1.486</v>
      </c>
      <c r="N68" s="44">
        <v>4.2000000000000003E-2</v>
      </c>
      <c r="O68" s="18">
        <v>570</v>
      </c>
      <c r="P68" s="1" t="s">
        <v>35</v>
      </c>
      <c r="Q68" s="2"/>
      <c r="R68" s="3" t="s">
        <v>2</v>
      </c>
      <c r="S68" s="123">
        <v>0</v>
      </c>
      <c r="T68" s="123">
        <v>0</v>
      </c>
      <c r="U68" s="123">
        <v>0</v>
      </c>
      <c r="V68" s="3" t="s">
        <v>2</v>
      </c>
      <c r="W68" s="123">
        <v>0</v>
      </c>
      <c r="X68" s="123">
        <v>0</v>
      </c>
      <c r="Y68" s="123">
        <v>0</v>
      </c>
      <c r="Z68" s="3" t="s">
        <v>2</v>
      </c>
      <c r="AA68" s="123">
        <v>0</v>
      </c>
      <c r="AB68" s="5"/>
    </row>
    <row r="69" spans="2:38" x14ac:dyDescent="0.2">
      <c r="B69" s="43" t="s">
        <v>43</v>
      </c>
      <c r="C69" s="44">
        <v>4.1000000000000002E-2</v>
      </c>
      <c r="D69" s="44">
        <v>8.8999999999999996E-2</v>
      </c>
      <c r="E69" s="49">
        <v>1.399</v>
      </c>
      <c r="F69" s="121">
        <v>1.329</v>
      </c>
      <c r="G69" s="49">
        <v>1.417</v>
      </c>
      <c r="H69" s="44">
        <v>8.4000000000000005E-2</v>
      </c>
      <c r="I69" s="121">
        <v>1.304</v>
      </c>
      <c r="J69" s="121">
        <v>1.3120000000000001</v>
      </c>
      <c r="K69" s="49">
        <v>1.341</v>
      </c>
      <c r="L69" s="44">
        <v>7.1999999999999995E-2</v>
      </c>
      <c r="M69" s="49">
        <v>1.373</v>
      </c>
      <c r="N69" s="44">
        <v>4.2000000000000003E-2</v>
      </c>
      <c r="O69" s="18">
        <v>570</v>
      </c>
      <c r="P69" s="1" t="s">
        <v>43</v>
      </c>
      <c r="Q69" s="2"/>
      <c r="R69" s="6" t="s">
        <v>11</v>
      </c>
      <c r="S69" s="123">
        <v>0</v>
      </c>
      <c r="T69" s="123">
        <v>0</v>
      </c>
      <c r="U69" s="123">
        <v>0</v>
      </c>
      <c r="V69" s="6" t="s">
        <v>11</v>
      </c>
      <c r="W69" s="123">
        <v>0</v>
      </c>
      <c r="X69" s="123">
        <v>0</v>
      </c>
      <c r="Y69" s="123">
        <v>0</v>
      </c>
      <c r="Z69" s="6" t="s">
        <v>11</v>
      </c>
      <c r="AA69" s="123">
        <v>0</v>
      </c>
      <c r="AB69" s="5"/>
    </row>
    <row r="70" spans="2:38" x14ac:dyDescent="0.2">
      <c r="B70" s="43" t="s">
        <v>51</v>
      </c>
      <c r="C70" s="44">
        <v>0.04</v>
      </c>
      <c r="D70" s="44">
        <v>4.1000000000000002E-2</v>
      </c>
      <c r="E70" s="44">
        <v>4.1000000000000002E-2</v>
      </c>
      <c r="F70" s="44">
        <v>4.1000000000000002E-2</v>
      </c>
      <c r="G70" s="44">
        <v>4.3999999999999997E-2</v>
      </c>
      <c r="H70" s="44">
        <v>4.1000000000000002E-2</v>
      </c>
      <c r="I70" s="44">
        <v>0.04</v>
      </c>
      <c r="J70" s="44">
        <v>4.1000000000000002E-2</v>
      </c>
      <c r="K70" s="44">
        <v>4.1000000000000002E-2</v>
      </c>
      <c r="L70" s="44">
        <v>4.1000000000000002E-2</v>
      </c>
      <c r="M70" s="44">
        <v>4.1000000000000002E-2</v>
      </c>
      <c r="N70" s="44">
        <v>4.2999999999999997E-2</v>
      </c>
      <c r="O70" s="18">
        <v>570</v>
      </c>
      <c r="P70" s="1" t="s">
        <v>51</v>
      </c>
      <c r="Q70" s="2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2" spans="2:38" x14ac:dyDescent="0.2">
      <c r="B72" s="57" t="s">
        <v>85</v>
      </c>
      <c r="P72" s="57" t="s">
        <v>86</v>
      </c>
    </row>
    <row r="73" spans="2:38" x14ac:dyDescent="0.2">
      <c r="C73" s="58" t="s">
        <v>87</v>
      </c>
      <c r="D73">
        <f>AVERAGE(D70:N70,N63:N69,D63:M63,C63:C70)</f>
        <v>4.1833333333333333E-2</v>
      </c>
      <c r="AE73" t="s">
        <v>88</v>
      </c>
      <c r="AH73" t="s">
        <v>89</v>
      </c>
    </row>
    <row r="74" spans="2:38" x14ac:dyDescent="0.2">
      <c r="C74" s="58" t="s">
        <v>90</v>
      </c>
      <c r="D74">
        <f>D64</f>
        <v>1.35</v>
      </c>
      <c r="E74">
        <f>D66</f>
        <v>1.32</v>
      </c>
      <c r="F74">
        <f>D68</f>
        <v>1.5629999999999999</v>
      </c>
      <c r="G74">
        <f>H64</f>
        <v>1.2470000000000001</v>
      </c>
      <c r="H74">
        <f>H66</f>
        <v>1.4530000000000001</v>
      </c>
      <c r="I74">
        <f>H68</f>
        <v>1.518</v>
      </c>
      <c r="J74">
        <f>L64</f>
        <v>1.35</v>
      </c>
      <c r="K74">
        <f>L66</f>
        <v>1.397</v>
      </c>
      <c r="L74">
        <f>L68</f>
        <v>1.5109999999999999</v>
      </c>
      <c r="Q74" s="58" t="s">
        <v>90</v>
      </c>
      <c r="R74">
        <f>D74-$D$73</f>
        <v>1.3081666666666667</v>
      </c>
      <c r="S74">
        <f t="shared" ref="S74:Y74" si="20">E74-$D$73</f>
        <v>1.2781666666666667</v>
      </c>
      <c r="T74">
        <f t="shared" si="20"/>
        <v>1.5211666666666666</v>
      </c>
      <c r="U74">
        <f t="shared" si="20"/>
        <v>1.2051666666666667</v>
      </c>
      <c r="V74">
        <f t="shared" si="20"/>
        <v>1.4111666666666667</v>
      </c>
      <c r="W74">
        <f t="shared" si="20"/>
        <v>1.4761666666666666</v>
      </c>
      <c r="X74">
        <f t="shared" si="20"/>
        <v>1.3081666666666667</v>
      </c>
      <c r="Y74">
        <f t="shared" si="20"/>
        <v>1.3551666666666666</v>
      </c>
      <c r="Z74">
        <f>L74-$D$73</f>
        <v>1.4691666666666665</v>
      </c>
      <c r="AE74" t="s">
        <v>91</v>
      </c>
      <c r="AF74">
        <f>AVERAGE(R74:Z74)</f>
        <v>1.3702777777777777</v>
      </c>
      <c r="AH74" t="s">
        <v>91</v>
      </c>
      <c r="AI74">
        <f>AVERAGE(R76:Z76)</f>
        <v>5.4055555555555558E-2</v>
      </c>
      <c r="AK74" s="59" t="s">
        <v>92</v>
      </c>
      <c r="AL74" s="59">
        <f>1- ((3*(AF75+AI75))/(AF74-AI74))</f>
        <v>0.71474758810927375</v>
      </c>
    </row>
    <row r="75" spans="2:38" x14ac:dyDescent="0.2">
      <c r="C75" s="58"/>
      <c r="G75" s="60"/>
      <c r="Q75" s="58"/>
      <c r="AE75" t="s">
        <v>93</v>
      </c>
      <c r="AF75">
        <f>STDEV(R74:Z74)</f>
        <v>0.10554672477680727</v>
      </c>
      <c r="AH75" t="s">
        <v>93</v>
      </c>
      <c r="AI75">
        <f>STDEV(R76:Z76)</f>
        <v>1.960512971421282E-2</v>
      </c>
      <c r="AK75" s="59"/>
      <c r="AL75" s="59"/>
    </row>
    <row r="76" spans="2:38" x14ac:dyDescent="0.2">
      <c r="C76" s="58" t="s">
        <v>11</v>
      </c>
      <c r="D76">
        <f>D65</f>
        <v>0.10199999999999999</v>
      </c>
      <c r="E76">
        <f>D67</f>
        <v>9.0999999999999998E-2</v>
      </c>
      <c r="F76">
        <f>D69</f>
        <v>8.8999999999999996E-2</v>
      </c>
      <c r="G76">
        <f>H65</f>
        <v>0.127</v>
      </c>
      <c r="H76">
        <f>H67</f>
        <v>0.124</v>
      </c>
      <c r="I76">
        <f>H69</f>
        <v>8.4000000000000005E-2</v>
      </c>
      <c r="J76">
        <f>L65</f>
        <v>0.1</v>
      </c>
      <c r="K76">
        <f>L67</f>
        <v>7.3999999999999996E-2</v>
      </c>
      <c r="L76">
        <f>L69</f>
        <v>7.1999999999999995E-2</v>
      </c>
      <c r="Q76" s="58" t="s">
        <v>11</v>
      </c>
      <c r="R76">
        <f>D76-$D$73</f>
        <v>6.016666666666666E-2</v>
      </c>
      <c r="S76">
        <f t="shared" ref="S76:Y76" si="21">E76-$D$73</f>
        <v>4.9166666666666664E-2</v>
      </c>
      <c r="T76">
        <f t="shared" si="21"/>
        <v>4.7166666666666662E-2</v>
      </c>
      <c r="U76">
        <f t="shared" si="21"/>
        <v>8.5166666666666668E-2</v>
      </c>
      <c r="V76">
        <f t="shared" si="21"/>
        <v>8.2166666666666666E-2</v>
      </c>
      <c r="W76">
        <f t="shared" si="21"/>
        <v>4.2166666666666672E-2</v>
      </c>
      <c r="X76">
        <f t="shared" si="21"/>
        <v>5.8166666666666672E-2</v>
      </c>
      <c r="Y76">
        <f t="shared" si="21"/>
        <v>3.2166666666666663E-2</v>
      </c>
      <c r="Z76">
        <f>L76-$D$73</f>
        <v>3.0166666666666661E-2</v>
      </c>
      <c r="AB76" s="58" t="s">
        <v>94</v>
      </c>
      <c r="AC76" s="58" t="s">
        <v>95</v>
      </c>
      <c r="AD76" s="58"/>
      <c r="AE76" t="s">
        <v>96</v>
      </c>
      <c r="AF76">
        <f>AF75*100/AF74</f>
        <v>7.7025787390331679</v>
      </c>
    </row>
    <row r="77" spans="2:38" x14ac:dyDescent="0.2">
      <c r="C77" s="58"/>
      <c r="D77" s="60"/>
      <c r="Q77" s="58"/>
      <c r="AB77" s="58"/>
      <c r="AC77" s="58"/>
      <c r="AD77" s="58"/>
      <c r="AE77" t="s">
        <v>97</v>
      </c>
      <c r="AF77">
        <f>3*AF75</f>
        <v>0.3166401743304218</v>
      </c>
    </row>
    <row r="78" spans="2:38" x14ac:dyDescent="0.2">
      <c r="C78" s="61" t="str">
        <f>S64</f>
        <v>CMU 43</v>
      </c>
      <c r="D78">
        <f>E64</f>
        <v>0.83699999999999997</v>
      </c>
      <c r="P78" s="60"/>
      <c r="Q78" s="62" t="str">
        <f>C78</f>
        <v>CMU 43</v>
      </c>
      <c r="R78">
        <f>D78-$D$73</f>
        <v>0.79516666666666658</v>
      </c>
      <c r="S78" s="60"/>
      <c r="Z78" s="60"/>
      <c r="AA78" s="62" t="str">
        <f>C78</f>
        <v>CMU 43</v>
      </c>
      <c r="AB78">
        <f>R78*100/$AF$74</f>
        <v>58.029596594364477</v>
      </c>
    </row>
    <row r="79" spans="2:38" x14ac:dyDescent="0.2">
      <c r="C79" s="61" t="str">
        <f>S65</f>
        <v>CMU 44</v>
      </c>
      <c r="D79">
        <f>E65</f>
        <v>0.81499999999999995</v>
      </c>
      <c r="P79" s="60"/>
      <c r="Q79" s="62" t="str">
        <f t="shared" ref="Q79:Q119" si="22">C79</f>
        <v>CMU 44</v>
      </c>
      <c r="R79">
        <f t="shared" ref="R79:R119" si="23">D79-$D$73</f>
        <v>0.77316666666666656</v>
      </c>
      <c r="S79" s="60"/>
      <c r="Z79" s="60"/>
      <c r="AA79" s="62" t="str">
        <f t="shared" ref="AA79:AA119" si="24">C79</f>
        <v>CMU 44</v>
      </c>
      <c r="AB79">
        <f t="shared" ref="AB79:AB119" si="25">R79*100/$AF$74</f>
        <v>56.424082708291103</v>
      </c>
    </row>
    <row r="80" spans="2:38" x14ac:dyDescent="0.2">
      <c r="C80" s="61" t="str">
        <f t="shared" ref="C80:C83" si="26">S66</f>
        <v>CMU 45</v>
      </c>
      <c r="D80">
        <f>E66</f>
        <v>0.99099999999999999</v>
      </c>
      <c r="P80" s="60"/>
      <c r="Q80" s="62" t="str">
        <f t="shared" si="22"/>
        <v>CMU 45</v>
      </c>
      <c r="R80">
        <f t="shared" si="23"/>
        <v>0.94916666666666671</v>
      </c>
      <c r="S80" s="60"/>
      <c r="Z80" s="60"/>
      <c r="AA80" s="62" t="str">
        <f t="shared" si="24"/>
        <v>CMU 45</v>
      </c>
      <c r="AB80">
        <f t="shared" si="25"/>
        <v>69.26819379687818</v>
      </c>
    </row>
    <row r="81" spans="3:28" x14ac:dyDescent="0.2">
      <c r="C81" s="61" t="str">
        <f t="shared" si="26"/>
        <v>CMU 46</v>
      </c>
      <c r="D81">
        <f>E67</f>
        <v>0.94199999999999995</v>
      </c>
      <c r="P81" s="60"/>
      <c r="Q81" s="62" t="str">
        <f>C81</f>
        <v>CMU 46</v>
      </c>
      <c r="R81">
        <f>D81-$D$73</f>
        <v>0.90016666666666656</v>
      </c>
      <c r="S81" s="60"/>
      <c r="Z81" s="60"/>
      <c r="AA81" s="62" t="str">
        <f t="shared" si="24"/>
        <v>CMU 46</v>
      </c>
      <c r="AB81">
        <f t="shared" si="25"/>
        <v>65.692276505169261</v>
      </c>
    </row>
    <row r="82" spans="3:28" x14ac:dyDescent="0.2">
      <c r="C82" s="61">
        <f t="shared" si="26"/>
        <v>0</v>
      </c>
      <c r="D82">
        <f t="shared" ref="D82" si="27">E68</f>
        <v>1.3620000000000001</v>
      </c>
      <c r="P82" s="60"/>
      <c r="Q82" s="62">
        <f t="shared" si="22"/>
        <v>0</v>
      </c>
      <c r="R82">
        <f>D82-$D$73</f>
        <v>1.3201666666666667</v>
      </c>
      <c r="S82" s="60"/>
      <c r="Z82" s="60"/>
      <c r="AA82" s="62">
        <f t="shared" si="24"/>
        <v>0</v>
      </c>
      <c r="AB82">
        <f t="shared" si="25"/>
        <v>96.342996148388423</v>
      </c>
    </row>
    <row r="83" spans="3:28" x14ac:dyDescent="0.2">
      <c r="C83" s="61">
        <f t="shared" si="26"/>
        <v>0</v>
      </c>
      <c r="D83">
        <f>E69</f>
        <v>1.399</v>
      </c>
      <c r="P83" s="60"/>
      <c r="Q83" s="62">
        <f t="shared" si="22"/>
        <v>0</v>
      </c>
      <c r="R83">
        <f t="shared" si="23"/>
        <v>1.3571666666666666</v>
      </c>
      <c r="S83" s="60"/>
      <c r="Z83" s="60"/>
      <c r="AA83" s="62">
        <f t="shared" si="24"/>
        <v>0</v>
      </c>
      <c r="AB83">
        <f t="shared" si="25"/>
        <v>99.043178593148198</v>
      </c>
    </row>
    <row r="84" spans="3:28" x14ac:dyDescent="0.2">
      <c r="C84" s="61" t="str">
        <f>T64</f>
        <v>CMU 43</v>
      </c>
      <c r="D84">
        <f>F64</f>
        <v>0.80900000000000005</v>
      </c>
      <c r="P84" s="60"/>
      <c r="Q84" s="62" t="str">
        <f t="shared" si="22"/>
        <v>CMU 43</v>
      </c>
      <c r="R84">
        <f t="shared" si="23"/>
        <v>0.76716666666666677</v>
      </c>
      <c r="S84" s="60"/>
      <c r="Z84" s="60"/>
      <c r="AA84" s="62" t="str">
        <f t="shared" si="24"/>
        <v>CMU 43</v>
      </c>
      <c r="AB84">
        <f t="shared" si="25"/>
        <v>55.986215284816559</v>
      </c>
    </row>
    <row r="85" spans="3:28" x14ac:dyDescent="0.2">
      <c r="C85" s="61" t="str">
        <f t="shared" ref="C85:C88" si="28">T65</f>
        <v>CMU 44</v>
      </c>
      <c r="D85">
        <f>F65</f>
        <v>0.875</v>
      </c>
      <c r="P85" s="60"/>
      <c r="Q85" s="62" t="str">
        <f t="shared" si="22"/>
        <v>CMU 44</v>
      </c>
      <c r="R85">
        <f t="shared" si="23"/>
        <v>0.83316666666666661</v>
      </c>
      <c r="S85" s="60"/>
      <c r="Z85" s="60"/>
      <c r="AA85" s="62" t="str">
        <f t="shared" si="24"/>
        <v>CMU 44</v>
      </c>
      <c r="AB85">
        <f t="shared" si="25"/>
        <v>60.802756943036691</v>
      </c>
    </row>
    <row r="86" spans="3:28" x14ac:dyDescent="0.2">
      <c r="C86" s="61" t="str">
        <f t="shared" si="28"/>
        <v>CMU 45</v>
      </c>
      <c r="D86">
        <f t="shared" ref="D86:D88" si="29">F66</f>
        <v>0.97</v>
      </c>
      <c r="P86" s="60"/>
      <c r="Q86" s="62" t="str">
        <f t="shared" si="22"/>
        <v>CMU 45</v>
      </c>
      <c r="R86">
        <f t="shared" si="23"/>
        <v>0.92816666666666658</v>
      </c>
      <c r="S86" s="60"/>
      <c r="Z86" s="60"/>
      <c r="AA86" s="62" t="str">
        <f t="shared" si="24"/>
        <v>CMU 45</v>
      </c>
      <c r="AB86">
        <f t="shared" si="25"/>
        <v>67.735657814717214</v>
      </c>
    </row>
    <row r="87" spans="3:28" x14ac:dyDescent="0.2">
      <c r="C87" s="61" t="str">
        <f t="shared" si="28"/>
        <v>CMU 46</v>
      </c>
      <c r="D87">
        <f t="shared" si="29"/>
        <v>1.0529999999999999</v>
      </c>
      <c r="P87" s="60"/>
      <c r="Q87" s="62" t="str">
        <f t="shared" si="22"/>
        <v>CMU 46</v>
      </c>
      <c r="R87">
        <f t="shared" si="23"/>
        <v>1.0111666666666665</v>
      </c>
      <c r="S87" s="60"/>
      <c r="Z87" s="60"/>
      <c r="AA87" s="62" t="str">
        <f t="shared" si="24"/>
        <v>CMU 46</v>
      </c>
      <c r="AB87">
        <f t="shared" si="25"/>
        <v>73.792823839448616</v>
      </c>
    </row>
    <row r="88" spans="3:28" x14ac:dyDescent="0.2">
      <c r="C88" s="61">
        <f t="shared" si="28"/>
        <v>0</v>
      </c>
      <c r="D88">
        <f t="shared" si="29"/>
        <v>1.681</v>
      </c>
      <c r="P88" s="60"/>
      <c r="Q88" s="62">
        <f t="shared" si="22"/>
        <v>0</v>
      </c>
      <c r="R88">
        <f t="shared" si="23"/>
        <v>1.6391666666666667</v>
      </c>
      <c r="S88" s="60"/>
      <c r="Z88" s="60"/>
      <c r="AA88" s="62">
        <f t="shared" si="24"/>
        <v>0</v>
      </c>
      <c r="AB88">
        <f t="shared" si="25"/>
        <v>119.62294749645247</v>
      </c>
    </row>
    <row r="89" spans="3:28" x14ac:dyDescent="0.2">
      <c r="C89" s="61">
        <f>T69</f>
        <v>0</v>
      </c>
      <c r="D89">
        <f>F69</f>
        <v>1.329</v>
      </c>
      <c r="P89" s="60"/>
      <c r="Q89" s="62">
        <f t="shared" si="22"/>
        <v>0</v>
      </c>
      <c r="R89">
        <f t="shared" si="23"/>
        <v>1.2871666666666666</v>
      </c>
      <c r="S89" s="60"/>
      <c r="Z89" s="60"/>
      <c r="AA89" s="62">
        <f t="shared" si="24"/>
        <v>0</v>
      </c>
      <c r="AB89">
        <f t="shared" si="25"/>
        <v>93.934725319278343</v>
      </c>
    </row>
    <row r="90" spans="3:28" x14ac:dyDescent="0.2">
      <c r="C90" s="61" t="str">
        <f t="shared" ref="C90:C95" si="30">U64</f>
        <v>CMU 43</v>
      </c>
      <c r="D90">
        <f>G64</f>
        <v>0.81200000000000006</v>
      </c>
      <c r="P90" s="60"/>
      <c r="Q90" s="62" t="str">
        <f t="shared" si="22"/>
        <v>CMU 43</v>
      </c>
      <c r="R90">
        <f t="shared" si="23"/>
        <v>0.77016666666666667</v>
      </c>
      <c r="S90" s="60"/>
      <c r="Z90" s="60"/>
      <c r="AA90" s="62" t="str">
        <f t="shared" si="24"/>
        <v>CMU 43</v>
      </c>
      <c r="AB90">
        <f t="shared" si="25"/>
        <v>56.205148996553824</v>
      </c>
    </row>
    <row r="91" spans="3:28" x14ac:dyDescent="0.2">
      <c r="C91" s="61" t="str">
        <f t="shared" si="30"/>
        <v>CMU 44</v>
      </c>
      <c r="D91">
        <f>G65</f>
        <v>0.754</v>
      </c>
      <c r="P91" s="60"/>
      <c r="Q91" s="62" t="str">
        <f t="shared" si="22"/>
        <v>CMU 44</v>
      </c>
      <c r="R91">
        <f t="shared" si="23"/>
        <v>0.71216666666666661</v>
      </c>
      <c r="S91" s="60"/>
      <c r="Z91" s="60"/>
      <c r="AA91" s="62" t="str">
        <f t="shared" si="24"/>
        <v>CMU 44</v>
      </c>
      <c r="AB91">
        <f t="shared" si="25"/>
        <v>51.97243056963309</v>
      </c>
    </row>
    <row r="92" spans="3:28" x14ac:dyDescent="0.2">
      <c r="C92" s="61" t="str">
        <f t="shared" si="30"/>
        <v>CMU 45</v>
      </c>
      <c r="D92">
        <f t="shared" ref="D92:D94" si="31">G66</f>
        <v>0.88300000000000001</v>
      </c>
      <c r="P92" s="60"/>
      <c r="Q92" s="62" t="str">
        <f t="shared" si="22"/>
        <v>CMU 45</v>
      </c>
      <c r="R92">
        <f t="shared" si="23"/>
        <v>0.84116666666666662</v>
      </c>
      <c r="S92" s="60"/>
      <c r="Z92" s="60"/>
      <c r="AA92" s="62" t="str">
        <f t="shared" si="24"/>
        <v>CMU 45</v>
      </c>
      <c r="AB92">
        <f t="shared" si="25"/>
        <v>61.386580174336103</v>
      </c>
    </row>
    <row r="93" spans="3:28" x14ac:dyDescent="0.2">
      <c r="C93" s="61" t="str">
        <f t="shared" si="30"/>
        <v>CMU 46</v>
      </c>
      <c r="D93">
        <f t="shared" si="31"/>
        <v>0.95499999999999996</v>
      </c>
      <c r="P93" s="60"/>
      <c r="Q93" s="62" t="str">
        <f t="shared" si="22"/>
        <v>CMU 46</v>
      </c>
      <c r="R93">
        <f t="shared" si="23"/>
        <v>0.91316666666666668</v>
      </c>
      <c r="S93" s="60"/>
      <c r="Z93" s="60"/>
      <c r="AA93" s="62" t="str">
        <f t="shared" si="24"/>
        <v>CMU 46</v>
      </c>
      <c r="AB93">
        <f t="shared" si="25"/>
        <v>66.640989256030807</v>
      </c>
    </row>
    <row r="94" spans="3:28" x14ac:dyDescent="0.2">
      <c r="C94" s="61">
        <f t="shared" si="30"/>
        <v>0</v>
      </c>
      <c r="D94">
        <f t="shared" si="31"/>
        <v>1.512</v>
      </c>
      <c r="P94" s="60"/>
      <c r="Q94" s="62">
        <f t="shared" si="22"/>
        <v>0</v>
      </c>
      <c r="R94">
        <f t="shared" si="23"/>
        <v>1.4701666666666666</v>
      </c>
      <c r="S94" s="60"/>
      <c r="Z94" s="60"/>
      <c r="AA94" s="62">
        <f t="shared" si="24"/>
        <v>0</v>
      </c>
      <c r="AB94">
        <f t="shared" si="25"/>
        <v>107.28968173525237</v>
      </c>
    </row>
    <row r="95" spans="3:28" x14ac:dyDescent="0.2">
      <c r="C95" s="61">
        <f t="shared" si="30"/>
        <v>0</v>
      </c>
      <c r="D95">
        <f>G69</f>
        <v>1.417</v>
      </c>
      <c r="P95" s="60"/>
      <c r="Q95" s="62">
        <f t="shared" si="22"/>
        <v>0</v>
      </c>
      <c r="R95">
        <f t="shared" si="23"/>
        <v>1.3751666666666666</v>
      </c>
      <c r="S95" s="60"/>
      <c r="Z95" s="60"/>
      <c r="AA95" s="62">
        <f t="shared" si="24"/>
        <v>0</v>
      </c>
      <c r="AB95">
        <f t="shared" si="25"/>
        <v>100.35678086357186</v>
      </c>
    </row>
    <row r="96" spans="3:28" x14ac:dyDescent="0.2">
      <c r="C96" s="61">
        <f>W64</f>
        <v>0</v>
      </c>
      <c r="D96">
        <f>I64</f>
        <v>1.2869999999999999</v>
      </c>
      <c r="P96" s="60"/>
      <c r="Q96" s="62">
        <f t="shared" si="22"/>
        <v>0</v>
      </c>
      <c r="R96">
        <f t="shared" si="23"/>
        <v>1.2451666666666665</v>
      </c>
      <c r="S96" s="60"/>
      <c r="Z96" s="60"/>
      <c r="AA96" s="62">
        <f t="shared" si="24"/>
        <v>0</v>
      </c>
      <c r="AB96">
        <f t="shared" si="25"/>
        <v>90.869653354956412</v>
      </c>
    </row>
    <row r="97" spans="3:28" x14ac:dyDescent="0.2">
      <c r="C97" s="61">
        <f t="shared" ref="C97:C100" si="32">W65</f>
        <v>0</v>
      </c>
      <c r="D97">
        <f>I65</f>
        <v>1.2809999999999999</v>
      </c>
      <c r="P97" s="60"/>
      <c r="Q97" s="62">
        <f t="shared" si="22"/>
        <v>0</v>
      </c>
      <c r="R97">
        <f t="shared" si="23"/>
        <v>1.2391666666666665</v>
      </c>
      <c r="S97" s="60"/>
      <c r="Z97" s="60"/>
      <c r="AA97" s="62">
        <f t="shared" si="24"/>
        <v>0</v>
      </c>
      <c r="AB97">
        <f t="shared" si="25"/>
        <v>90.431785931481855</v>
      </c>
    </row>
    <row r="98" spans="3:28" x14ac:dyDescent="0.2">
      <c r="C98" s="61">
        <f t="shared" si="32"/>
        <v>0</v>
      </c>
      <c r="D98">
        <f t="shared" ref="D98:D100" si="33">I66</f>
        <v>1.244</v>
      </c>
      <c r="P98" s="60"/>
      <c r="Q98" s="62">
        <f t="shared" si="22"/>
        <v>0</v>
      </c>
      <c r="R98">
        <f>D98-$D$73</f>
        <v>1.2021666666666666</v>
      </c>
      <c r="S98" s="60"/>
      <c r="Z98" s="60"/>
      <c r="AA98" s="62">
        <f t="shared" si="24"/>
        <v>0</v>
      </c>
      <c r="AB98">
        <f t="shared" si="25"/>
        <v>87.731603486722065</v>
      </c>
    </row>
    <row r="99" spans="3:28" x14ac:dyDescent="0.2">
      <c r="C99" s="61">
        <f t="shared" si="32"/>
        <v>0</v>
      </c>
      <c r="D99">
        <f t="shared" si="33"/>
        <v>1.3520000000000001</v>
      </c>
      <c r="P99" s="60"/>
      <c r="Q99" s="62">
        <f t="shared" si="22"/>
        <v>0</v>
      </c>
      <c r="R99">
        <f t="shared" si="23"/>
        <v>1.3101666666666667</v>
      </c>
      <c r="S99" s="60"/>
      <c r="Z99" s="60"/>
      <c r="AA99" s="62">
        <f t="shared" si="24"/>
        <v>0</v>
      </c>
      <c r="AB99">
        <f t="shared" si="25"/>
        <v>95.613217109264156</v>
      </c>
    </row>
    <row r="100" spans="3:28" x14ac:dyDescent="0.2">
      <c r="C100" s="61">
        <f t="shared" si="32"/>
        <v>0</v>
      </c>
      <c r="D100">
        <f t="shared" si="33"/>
        <v>1.474</v>
      </c>
      <c r="P100" s="60"/>
      <c r="Q100" s="62">
        <f t="shared" si="22"/>
        <v>0</v>
      </c>
      <c r="R100">
        <f t="shared" si="23"/>
        <v>1.4321666666666666</v>
      </c>
      <c r="S100" s="60"/>
      <c r="Z100" s="60"/>
      <c r="AA100" s="62">
        <f t="shared" si="24"/>
        <v>0</v>
      </c>
      <c r="AB100">
        <f t="shared" si="25"/>
        <v>104.51652138658018</v>
      </c>
    </row>
    <row r="101" spans="3:28" x14ac:dyDescent="0.2">
      <c r="C101" s="61">
        <f>W69</f>
        <v>0</v>
      </c>
      <c r="D101">
        <f>I69</f>
        <v>1.304</v>
      </c>
      <c r="P101" s="60"/>
      <c r="Q101" s="62">
        <f t="shared" si="22"/>
        <v>0</v>
      </c>
      <c r="R101">
        <f t="shared" si="23"/>
        <v>1.2621666666666667</v>
      </c>
      <c r="S101" s="60"/>
      <c r="Z101" s="60"/>
      <c r="AA101" s="62">
        <f t="shared" si="24"/>
        <v>0</v>
      </c>
      <c r="AB101">
        <f t="shared" si="25"/>
        <v>92.110277721467668</v>
      </c>
    </row>
    <row r="102" spans="3:28" x14ac:dyDescent="0.2">
      <c r="C102" s="61">
        <f t="shared" ref="C102:C107" si="34">X64</f>
        <v>0</v>
      </c>
      <c r="D102">
        <f>J64</f>
        <v>1.1950000000000001</v>
      </c>
      <c r="P102" s="60"/>
      <c r="Q102" s="62">
        <f t="shared" si="22"/>
        <v>0</v>
      </c>
      <c r="R102">
        <f t="shared" si="23"/>
        <v>1.1531666666666667</v>
      </c>
      <c r="S102" s="60"/>
      <c r="Z102" s="60"/>
      <c r="AA102" s="62">
        <f t="shared" si="24"/>
        <v>0</v>
      </c>
      <c r="AB102">
        <f t="shared" si="25"/>
        <v>84.155686195013175</v>
      </c>
    </row>
    <row r="103" spans="3:28" x14ac:dyDescent="0.2">
      <c r="C103" s="61">
        <f t="shared" si="34"/>
        <v>0</v>
      </c>
      <c r="D103">
        <f>J65</f>
        <v>1.232</v>
      </c>
      <c r="P103" s="60"/>
      <c r="Q103" s="62">
        <f t="shared" si="22"/>
        <v>0</v>
      </c>
      <c r="R103">
        <f t="shared" si="23"/>
        <v>1.1901666666666666</v>
      </c>
      <c r="S103" s="60"/>
      <c r="Z103" s="60"/>
      <c r="AA103" s="62">
        <f t="shared" si="24"/>
        <v>0</v>
      </c>
      <c r="AB103">
        <f t="shared" si="25"/>
        <v>86.855868639772964</v>
      </c>
    </row>
    <row r="104" spans="3:28" x14ac:dyDescent="0.2">
      <c r="C104" s="61">
        <f t="shared" si="34"/>
        <v>0</v>
      </c>
      <c r="D104">
        <f t="shared" ref="D104:D106" si="35">J66</f>
        <v>1.238</v>
      </c>
      <c r="P104" s="60"/>
      <c r="Q104" s="62">
        <f t="shared" si="22"/>
        <v>0</v>
      </c>
      <c r="R104">
        <f t="shared" si="23"/>
        <v>1.1961666666666666</v>
      </c>
      <c r="S104" s="60"/>
      <c r="Z104" s="60"/>
      <c r="AA104" s="62">
        <f t="shared" si="24"/>
        <v>0</v>
      </c>
      <c r="AB104">
        <f t="shared" si="25"/>
        <v>87.293736063247522</v>
      </c>
    </row>
    <row r="105" spans="3:28" x14ac:dyDescent="0.2">
      <c r="C105" s="61">
        <f t="shared" si="34"/>
        <v>0</v>
      </c>
      <c r="D105">
        <f t="shared" si="35"/>
        <v>1.5229999999999999</v>
      </c>
      <c r="P105" s="60"/>
      <c r="Q105" s="62">
        <f t="shared" si="22"/>
        <v>0</v>
      </c>
      <c r="R105">
        <f t="shared" si="23"/>
        <v>1.4811666666666665</v>
      </c>
      <c r="S105" s="60"/>
      <c r="Z105" s="60"/>
      <c r="AA105" s="62">
        <f t="shared" si="24"/>
        <v>0</v>
      </c>
      <c r="AB105">
        <f t="shared" si="25"/>
        <v>108.09243867828907</v>
      </c>
    </row>
    <row r="106" spans="3:28" x14ac:dyDescent="0.2">
      <c r="C106" s="61">
        <f t="shared" si="34"/>
        <v>0</v>
      </c>
      <c r="D106">
        <f t="shared" si="35"/>
        <v>1.4550000000000001</v>
      </c>
      <c r="P106" s="60"/>
      <c r="Q106" s="62">
        <f t="shared" si="22"/>
        <v>0</v>
      </c>
      <c r="R106">
        <f t="shared" si="23"/>
        <v>1.4131666666666667</v>
      </c>
      <c r="S106" s="60"/>
      <c r="Z106" s="60"/>
      <c r="AA106" s="62">
        <f t="shared" si="24"/>
        <v>0</v>
      </c>
      <c r="AB106">
        <f t="shared" si="25"/>
        <v>103.12994121224408</v>
      </c>
    </row>
    <row r="107" spans="3:28" x14ac:dyDescent="0.2">
      <c r="C107" s="61">
        <f t="shared" si="34"/>
        <v>0</v>
      </c>
      <c r="D107">
        <f>J69</f>
        <v>1.3120000000000001</v>
      </c>
      <c r="P107" s="60"/>
      <c r="Q107" s="62">
        <f t="shared" si="22"/>
        <v>0</v>
      </c>
      <c r="R107">
        <f t="shared" si="23"/>
        <v>1.2701666666666667</v>
      </c>
      <c r="S107" s="60"/>
      <c r="Z107" s="60"/>
      <c r="AA107" s="62">
        <f t="shared" si="24"/>
        <v>0</v>
      </c>
      <c r="AB107">
        <f t="shared" si="25"/>
        <v>92.694100952767087</v>
      </c>
    </row>
    <row r="108" spans="3:28" x14ac:dyDescent="0.2">
      <c r="C108" s="61">
        <f t="shared" ref="C108:C113" si="36">Y64</f>
        <v>0</v>
      </c>
      <c r="D108">
        <f>K64</f>
        <v>1.2430000000000001</v>
      </c>
      <c r="P108" s="60"/>
      <c r="Q108" s="62">
        <f t="shared" si="22"/>
        <v>0</v>
      </c>
      <c r="R108">
        <f t="shared" si="23"/>
        <v>1.2011666666666667</v>
      </c>
      <c r="S108" s="60"/>
      <c r="Z108" s="60"/>
      <c r="AA108" s="62">
        <f t="shared" si="24"/>
        <v>0</v>
      </c>
      <c r="AB108">
        <f t="shared" si="25"/>
        <v>87.658625582809663</v>
      </c>
    </row>
    <row r="109" spans="3:28" x14ac:dyDescent="0.2">
      <c r="C109" s="61">
        <f t="shared" si="36"/>
        <v>0</v>
      </c>
      <c r="D109">
        <f>K65</f>
        <v>1.282</v>
      </c>
      <c r="P109" s="60"/>
      <c r="Q109" s="62">
        <f t="shared" si="22"/>
        <v>0</v>
      </c>
      <c r="R109">
        <f t="shared" si="23"/>
        <v>1.2401666666666666</v>
      </c>
      <c r="S109" s="60"/>
      <c r="Z109" s="60"/>
      <c r="AA109" s="62">
        <f t="shared" si="24"/>
        <v>0</v>
      </c>
      <c r="AB109">
        <f t="shared" si="25"/>
        <v>90.504763835394286</v>
      </c>
    </row>
    <row r="110" spans="3:28" x14ac:dyDescent="0.2">
      <c r="C110" s="61">
        <f t="shared" si="36"/>
        <v>0</v>
      </c>
      <c r="D110">
        <f t="shared" ref="D110:D112" si="37">K66</f>
        <v>1.31</v>
      </c>
      <c r="P110" s="60"/>
      <c r="Q110" s="62">
        <f t="shared" si="22"/>
        <v>0</v>
      </c>
      <c r="R110">
        <f t="shared" si="23"/>
        <v>1.2681666666666667</v>
      </c>
      <c r="S110" s="60"/>
      <c r="Z110" s="60"/>
      <c r="AA110" s="62">
        <f t="shared" si="24"/>
        <v>0</v>
      </c>
      <c r="AB110">
        <f t="shared" si="25"/>
        <v>92.548145144942225</v>
      </c>
    </row>
    <row r="111" spans="3:28" x14ac:dyDescent="0.2">
      <c r="C111" s="61">
        <f t="shared" si="36"/>
        <v>0</v>
      </c>
      <c r="D111">
        <f t="shared" si="37"/>
        <v>1.3660000000000001</v>
      </c>
      <c r="P111" s="60"/>
      <c r="Q111" s="62">
        <f t="shared" si="22"/>
        <v>0</v>
      </c>
      <c r="R111">
        <f t="shared" si="23"/>
        <v>1.3241666666666667</v>
      </c>
      <c r="S111" s="60"/>
      <c r="Z111" s="60"/>
      <c r="AA111" s="62">
        <f t="shared" si="24"/>
        <v>0</v>
      </c>
      <c r="AB111">
        <f t="shared" si="25"/>
        <v>96.634907764038132</v>
      </c>
    </row>
    <row r="112" spans="3:28" x14ac:dyDescent="0.2">
      <c r="C112" s="61">
        <f t="shared" si="36"/>
        <v>0</v>
      </c>
      <c r="D112">
        <f t="shared" si="37"/>
        <v>1.3580000000000001</v>
      </c>
      <c r="P112" s="60"/>
      <c r="Q112" s="62">
        <f t="shared" si="22"/>
        <v>0</v>
      </c>
      <c r="R112">
        <f t="shared" si="23"/>
        <v>1.3161666666666667</v>
      </c>
      <c r="S112" s="60"/>
      <c r="Z112" s="60"/>
      <c r="AA112" s="62">
        <f t="shared" si="24"/>
        <v>0</v>
      </c>
      <c r="AB112">
        <f t="shared" si="25"/>
        <v>96.051084532738713</v>
      </c>
    </row>
    <row r="113" spans="2:28" x14ac:dyDescent="0.2">
      <c r="C113" s="61">
        <f t="shared" si="36"/>
        <v>0</v>
      </c>
      <c r="D113">
        <f>K69</f>
        <v>1.341</v>
      </c>
      <c r="P113" s="60"/>
      <c r="Q113" s="62">
        <f t="shared" si="22"/>
        <v>0</v>
      </c>
      <c r="R113">
        <f t="shared" si="23"/>
        <v>1.2991666666666666</v>
      </c>
      <c r="S113" s="60"/>
      <c r="Z113" s="60"/>
      <c r="AA113" s="62">
        <f t="shared" si="24"/>
        <v>0</v>
      </c>
      <c r="AB113">
        <f t="shared" si="25"/>
        <v>94.810460166227443</v>
      </c>
    </row>
    <row r="114" spans="2:28" x14ac:dyDescent="0.2">
      <c r="C114" s="61">
        <f>AA64</f>
        <v>0</v>
      </c>
      <c r="D114">
        <f>M64</f>
        <v>1.232</v>
      </c>
      <c r="P114" s="60"/>
      <c r="Q114" s="62">
        <f t="shared" si="22"/>
        <v>0</v>
      </c>
      <c r="R114">
        <f t="shared" si="23"/>
        <v>1.1901666666666666</v>
      </c>
      <c r="S114" s="60"/>
      <c r="Z114" s="60"/>
      <c r="AA114" s="62">
        <f t="shared" si="24"/>
        <v>0</v>
      </c>
      <c r="AB114">
        <f t="shared" si="25"/>
        <v>86.855868639772964</v>
      </c>
    </row>
    <row r="115" spans="2:28" x14ac:dyDescent="0.2">
      <c r="C115" s="61">
        <f t="shared" ref="C115:C119" si="38">AA65</f>
        <v>0</v>
      </c>
      <c r="D115">
        <f>M65</f>
        <v>1.296</v>
      </c>
      <c r="P115" s="60"/>
      <c r="Q115" s="62">
        <f t="shared" si="22"/>
        <v>0</v>
      </c>
      <c r="R115">
        <f t="shared" si="23"/>
        <v>1.2541666666666667</v>
      </c>
      <c r="Z115" s="60"/>
      <c r="AA115" s="62">
        <f t="shared" si="24"/>
        <v>0</v>
      </c>
      <c r="AB115">
        <f t="shared" si="25"/>
        <v>91.526454490168263</v>
      </c>
    </row>
    <row r="116" spans="2:28" x14ac:dyDescent="0.2">
      <c r="C116" s="61">
        <f t="shared" si="38"/>
        <v>0</v>
      </c>
      <c r="D116">
        <f t="shared" ref="D116:D118" si="39">M66</f>
        <v>1.19</v>
      </c>
      <c r="P116" s="60"/>
      <c r="Q116" s="62">
        <f t="shared" si="22"/>
        <v>0</v>
      </c>
      <c r="R116">
        <f t="shared" si="23"/>
        <v>1.1481666666666666</v>
      </c>
      <c r="S116" s="58"/>
      <c r="Z116" s="60"/>
      <c r="AA116" s="62">
        <f t="shared" si="24"/>
        <v>0</v>
      </c>
      <c r="AB116">
        <f t="shared" si="25"/>
        <v>83.790796675451048</v>
      </c>
    </row>
    <row r="117" spans="2:28" x14ac:dyDescent="0.2">
      <c r="C117" s="61">
        <f t="shared" si="38"/>
        <v>0</v>
      </c>
      <c r="D117">
        <f t="shared" si="39"/>
        <v>1.3580000000000001</v>
      </c>
      <c r="P117" s="60"/>
      <c r="Q117" s="62">
        <f t="shared" si="22"/>
        <v>0</v>
      </c>
      <c r="R117">
        <f t="shared" si="23"/>
        <v>1.3161666666666667</v>
      </c>
      <c r="Z117" s="60"/>
      <c r="AA117" s="62">
        <f t="shared" si="24"/>
        <v>0</v>
      </c>
      <c r="AB117">
        <f t="shared" si="25"/>
        <v>96.051084532738713</v>
      </c>
    </row>
    <row r="118" spans="2:28" x14ac:dyDescent="0.2">
      <c r="C118" s="61">
        <f t="shared" si="38"/>
        <v>0</v>
      </c>
      <c r="D118">
        <f t="shared" si="39"/>
        <v>1.486</v>
      </c>
      <c r="P118" s="60"/>
      <c r="Q118" s="62">
        <f t="shared" si="22"/>
        <v>0</v>
      </c>
      <c r="R118">
        <f t="shared" si="23"/>
        <v>1.4441666666666666</v>
      </c>
      <c r="Z118" s="60"/>
      <c r="AA118" s="62">
        <f t="shared" si="24"/>
        <v>0</v>
      </c>
      <c r="AB118">
        <f t="shared" si="25"/>
        <v>105.3922562335293</v>
      </c>
    </row>
    <row r="119" spans="2:28" x14ac:dyDescent="0.2">
      <c r="C119" s="61">
        <f t="shared" si="38"/>
        <v>0</v>
      </c>
      <c r="D119">
        <f>M69</f>
        <v>1.373</v>
      </c>
      <c r="P119" s="60"/>
      <c r="Q119" s="62">
        <f t="shared" si="22"/>
        <v>0</v>
      </c>
      <c r="R119">
        <f t="shared" si="23"/>
        <v>1.3311666666666666</v>
      </c>
      <c r="Z119" s="60"/>
      <c r="AA119" s="62">
        <f t="shared" si="24"/>
        <v>0</v>
      </c>
      <c r="AB119">
        <f t="shared" si="25"/>
        <v>97.145753091425107</v>
      </c>
    </row>
    <row r="121" spans="2:28" x14ac:dyDescent="0.2">
      <c r="B121" s="7" t="s">
        <v>52</v>
      </c>
      <c r="C121" s="40">
        <v>45364</v>
      </c>
      <c r="D121" s="7" t="s">
        <v>111</v>
      </c>
      <c r="E121" s="41"/>
    </row>
    <row r="122" spans="2:28" x14ac:dyDescent="0.2">
      <c r="B122" s="42"/>
      <c r="C122" s="42">
        <v>1</v>
      </c>
      <c r="D122" s="42">
        <v>2</v>
      </c>
      <c r="E122" s="42">
        <v>3</v>
      </c>
      <c r="F122" s="42">
        <v>4</v>
      </c>
      <c r="G122" s="42">
        <v>5</v>
      </c>
      <c r="H122" s="42">
        <v>6</v>
      </c>
      <c r="I122" s="42">
        <v>7</v>
      </c>
      <c r="J122" s="42">
        <v>8</v>
      </c>
      <c r="K122" s="42">
        <v>9</v>
      </c>
      <c r="L122" s="42">
        <v>10</v>
      </c>
      <c r="M122" s="42">
        <v>11</v>
      </c>
      <c r="N122" s="42">
        <v>12</v>
      </c>
      <c r="Q122" s="1">
        <v>1</v>
      </c>
      <c r="R122" s="1">
        <v>2</v>
      </c>
      <c r="S122" s="1">
        <v>3</v>
      </c>
      <c r="T122" s="1">
        <v>4</v>
      </c>
      <c r="U122" s="1">
        <v>5</v>
      </c>
      <c r="V122" s="1">
        <v>6</v>
      </c>
      <c r="W122" s="1">
        <v>7</v>
      </c>
      <c r="X122" s="1">
        <v>8</v>
      </c>
      <c r="Y122" s="1">
        <v>9</v>
      </c>
      <c r="Z122" s="1">
        <v>10</v>
      </c>
      <c r="AA122" s="1">
        <v>11</v>
      </c>
      <c r="AB122" s="1">
        <v>12</v>
      </c>
    </row>
    <row r="123" spans="2:28" x14ac:dyDescent="0.2">
      <c r="B123" s="43" t="s">
        <v>0</v>
      </c>
      <c r="C123" s="44">
        <v>4.1000000000000002E-2</v>
      </c>
      <c r="D123" s="44">
        <v>4.1000000000000002E-2</v>
      </c>
      <c r="E123" s="44">
        <v>4.1000000000000002E-2</v>
      </c>
      <c r="F123" s="44">
        <v>4.2000000000000003E-2</v>
      </c>
      <c r="G123" s="44">
        <v>4.1000000000000002E-2</v>
      </c>
      <c r="H123" s="44">
        <v>0.04</v>
      </c>
      <c r="I123" s="44">
        <v>4.1000000000000002E-2</v>
      </c>
      <c r="J123" s="44">
        <v>3.6999999999999998E-2</v>
      </c>
      <c r="K123" s="44">
        <v>4.1000000000000002E-2</v>
      </c>
      <c r="L123" s="44">
        <v>4.2000000000000003E-2</v>
      </c>
      <c r="M123" s="44">
        <v>4.4999999999999998E-2</v>
      </c>
      <c r="N123" s="44">
        <v>4.2999999999999997E-2</v>
      </c>
      <c r="O123" s="18">
        <v>570</v>
      </c>
      <c r="P123" s="1" t="s">
        <v>0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2:28" x14ac:dyDescent="0.2">
      <c r="B124" s="43" t="s">
        <v>1</v>
      </c>
      <c r="C124" s="44">
        <v>4.2000000000000003E-2</v>
      </c>
      <c r="D124" s="45">
        <v>1.4379999999999999</v>
      </c>
      <c r="E124" s="46">
        <v>0.89800000000000002</v>
      </c>
      <c r="F124" s="44">
        <v>5.3999999999999999E-2</v>
      </c>
      <c r="G124" s="47">
        <v>0.16600000000000001</v>
      </c>
      <c r="H124" s="49">
        <v>1.2609999999999999</v>
      </c>
      <c r="I124" s="47">
        <v>0.24399999999999999</v>
      </c>
      <c r="J124" s="44">
        <v>0.129</v>
      </c>
      <c r="K124" s="47">
        <v>0.23</v>
      </c>
      <c r="L124" s="121">
        <v>1.208</v>
      </c>
      <c r="M124" s="44">
        <v>0.10199999999999999</v>
      </c>
      <c r="N124" s="44">
        <v>4.1000000000000002E-2</v>
      </c>
      <c r="O124" s="18">
        <v>570</v>
      </c>
      <c r="P124" s="1" t="s">
        <v>1</v>
      </c>
      <c r="Q124" s="2"/>
      <c r="R124" s="3" t="s">
        <v>2</v>
      </c>
      <c r="S124" s="4" t="s">
        <v>3</v>
      </c>
      <c r="T124" s="4" t="s">
        <v>4</v>
      </c>
      <c r="U124" s="4" t="s">
        <v>5</v>
      </c>
      <c r="V124" s="3" t="s">
        <v>2</v>
      </c>
      <c r="W124" s="4" t="s">
        <v>6</v>
      </c>
      <c r="X124" s="4" t="s">
        <v>7</v>
      </c>
      <c r="Y124" s="4" t="s">
        <v>8</v>
      </c>
      <c r="Z124" s="3" t="s">
        <v>2</v>
      </c>
      <c r="AA124" s="4" t="s">
        <v>9</v>
      </c>
      <c r="AB124" s="5"/>
    </row>
    <row r="125" spans="2:28" x14ac:dyDescent="0.2">
      <c r="B125" s="43" t="s">
        <v>10</v>
      </c>
      <c r="C125" s="44">
        <v>4.1000000000000002E-2</v>
      </c>
      <c r="D125" s="44">
        <v>0.11600000000000001</v>
      </c>
      <c r="E125" s="46">
        <v>0.86799999999999999</v>
      </c>
      <c r="F125" s="48">
        <v>0.33100000000000002</v>
      </c>
      <c r="G125" s="50">
        <v>0.41699999999999998</v>
      </c>
      <c r="H125" s="44">
        <v>7.1999999999999995E-2</v>
      </c>
      <c r="I125" s="44">
        <v>5.6000000000000001E-2</v>
      </c>
      <c r="J125" s="50">
        <v>0.41199999999999998</v>
      </c>
      <c r="K125" s="47">
        <v>0.157</v>
      </c>
      <c r="L125" s="44">
        <v>6.3E-2</v>
      </c>
      <c r="M125" s="48">
        <v>0.35299999999999998</v>
      </c>
      <c r="N125" s="44">
        <v>4.2000000000000003E-2</v>
      </c>
      <c r="O125" s="18">
        <v>570</v>
      </c>
      <c r="P125" s="1" t="s">
        <v>10</v>
      </c>
      <c r="Q125" s="2"/>
      <c r="R125" s="6" t="s">
        <v>11</v>
      </c>
      <c r="S125" s="4" t="s">
        <v>12</v>
      </c>
      <c r="T125" s="4" t="s">
        <v>13</v>
      </c>
      <c r="U125" s="4" t="s">
        <v>14</v>
      </c>
      <c r="V125" s="6" t="s">
        <v>11</v>
      </c>
      <c r="W125" s="4" t="s">
        <v>15</v>
      </c>
      <c r="X125" s="4" t="s">
        <v>16</v>
      </c>
      <c r="Y125" s="4" t="s">
        <v>17</v>
      </c>
      <c r="Z125" s="6" t="s">
        <v>11</v>
      </c>
      <c r="AA125" s="4" t="s">
        <v>18</v>
      </c>
      <c r="AB125" s="5"/>
    </row>
    <row r="126" spans="2:28" x14ac:dyDescent="0.2">
      <c r="B126" s="43" t="s">
        <v>19</v>
      </c>
      <c r="C126" s="44">
        <v>4.2000000000000003E-2</v>
      </c>
      <c r="D126" s="45">
        <v>1.413</v>
      </c>
      <c r="E126" s="55">
        <v>1.117</v>
      </c>
      <c r="F126" s="46">
        <v>0.878</v>
      </c>
      <c r="G126" s="51">
        <v>0.47799999999999998</v>
      </c>
      <c r="H126" s="45">
        <v>1.4279999999999999</v>
      </c>
      <c r="I126" s="51">
        <v>0.52300000000000002</v>
      </c>
      <c r="J126" s="48">
        <v>0.35499999999999998</v>
      </c>
      <c r="K126" s="52">
        <v>0.65</v>
      </c>
      <c r="L126" s="45">
        <v>1.4610000000000001</v>
      </c>
      <c r="M126" s="48">
        <v>0.33700000000000002</v>
      </c>
      <c r="N126" s="44">
        <v>4.2000000000000003E-2</v>
      </c>
      <c r="O126" s="18">
        <v>570</v>
      </c>
      <c r="P126" s="1" t="s">
        <v>19</v>
      </c>
      <c r="Q126" s="2"/>
      <c r="R126" s="3" t="s">
        <v>2</v>
      </c>
      <c r="S126" s="4" t="s">
        <v>20</v>
      </c>
      <c r="T126" s="4" t="s">
        <v>21</v>
      </c>
      <c r="U126" s="4" t="s">
        <v>22</v>
      </c>
      <c r="V126" s="3" t="s">
        <v>2</v>
      </c>
      <c r="W126" s="4" t="s">
        <v>23</v>
      </c>
      <c r="X126" s="4" t="s">
        <v>24</v>
      </c>
      <c r="Y126" s="4" t="s">
        <v>25</v>
      </c>
      <c r="Z126" s="3" t="s">
        <v>2</v>
      </c>
      <c r="AA126" s="4" t="s">
        <v>26</v>
      </c>
      <c r="AB126" s="5"/>
    </row>
    <row r="127" spans="2:28" x14ac:dyDescent="0.2">
      <c r="B127" s="43" t="s">
        <v>27</v>
      </c>
      <c r="C127" s="44">
        <v>4.2000000000000003E-2</v>
      </c>
      <c r="D127" s="44">
        <v>6.3E-2</v>
      </c>
      <c r="E127" s="51">
        <v>0.57299999999999995</v>
      </c>
      <c r="F127" s="51">
        <v>0.56100000000000005</v>
      </c>
      <c r="G127" s="50">
        <v>0.46</v>
      </c>
      <c r="H127" s="44">
        <v>8.1000000000000003E-2</v>
      </c>
      <c r="I127" s="46">
        <v>0.84599999999999997</v>
      </c>
      <c r="J127" s="48">
        <v>0.33600000000000002</v>
      </c>
      <c r="K127" s="51">
        <v>0.52900000000000003</v>
      </c>
      <c r="L127" s="44">
        <v>0.06</v>
      </c>
      <c r="M127" s="48">
        <v>0.34599999999999997</v>
      </c>
      <c r="N127" s="44">
        <v>4.1000000000000002E-2</v>
      </c>
      <c r="O127" s="18">
        <v>570</v>
      </c>
      <c r="P127" s="1" t="s">
        <v>27</v>
      </c>
      <c r="Q127" s="2"/>
      <c r="R127" s="6" t="s">
        <v>11</v>
      </c>
      <c r="S127" s="4" t="s">
        <v>28</v>
      </c>
      <c r="T127" s="4" t="s">
        <v>29</v>
      </c>
      <c r="U127" s="4" t="s">
        <v>30</v>
      </c>
      <c r="V127" s="6" t="s">
        <v>11</v>
      </c>
      <c r="W127" s="4" t="s">
        <v>31</v>
      </c>
      <c r="X127" s="4" t="s">
        <v>32</v>
      </c>
      <c r="Y127" s="4" t="s">
        <v>33</v>
      </c>
      <c r="Z127" s="6" t="s">
        <v>11</v>
      </c>
      <c r="AA127" s="4" t="s">
        <v>34</v>
      </c>
      <c r="AB127" s="5"/>
    </row>
    <row r="128" spans="2:28" x14ac:dyDescent="0.2">
      <c r="B128" s="43" t="s">
        <v>35</v>
      </c>
      <c r="C128" s="44">
        <v>4.1000000000000002E-2</v>
      </c>
      <c r="D128" s="54">
        <v>1.573</v>
      </c>
      <c r="E128" s="44">
        <v>8.2000000000000003E-2</v>
      </c>
      <c r="F128" s="52">
        <v>0.58699999999999997</v>
      </c>
      <c r="G128" s="47">
        <v>0.152</v>
      </c>
      <c r="H128" s="54">
        <v>1.5209999999999999</v>
      </c>
      <c r="I128" s="51">
        <v>0.55600000000000005</v>
      </c>
      <c r="J128" s="44">
        <v>4.2999999999999997E-2</v>
      </c>
      <c r="K128" s="46">
        <v>0.81399999999999995</v>
      </c>
      <c r="L128" s="45">
        <v>1.4119999999999999</v>
      </c>
      <c r="M128" s="55">
        <v>1.123</v>
      </c>
      <c r="N128" s="44">
        <v>4.2999999999999997E-2</v>
      </c>
      <c r="O128" s="18">
        <v>570</v>
      </c>
      <c r="P128" s="1" t="s">
        <v>35</v>
      </c>
      <c r="Q128" s="2"/>
      <c r="R128" s="3" t="s">
        <v>2</v>
      </c>
      <c r="S128" s="4" t="s">
        <v>36</v>
      </c>
      <c r="T128" s="4" t="s">
        <v>37</v>
      </c>
      <c r="U128" s="4" t="s">
        <v>38</v>
      </c>
      <c r="V128" s="3" t="s">
        <v>2</v>
      </c>
      <c r="W128" s="4" t="s">
        <v>39</v>
      </c>
      <c r="X128" s="4" t="s">
        <v>40</v>
      </c>
      <c r="Y128" s="4" t="s">
        <v>41</v>
      </c>
      <c r="Z128" s="3" t="s">
        <v>2</v>
      </c>
      <c r="AA128" s="4" t="s">
        <v>42</v>
      </c>
      <c r="AB128" s="5"/>
    </row>
    <row r="129" spans="2:38" x14ac:dyDescent="0.2">
      <c r="B129" s="43" t="s">
        <v>43</v>
      </c>
      <c r="C129" s="44">
        <v>4.2000000000000003E-2</v>
      </c>
      <c r="D129" s="44">
        <v>5.7000000000000002E-2</v>
      </c>
      <c r="E129" s="47">
        <v>0.23899999999999999</v>
      </c>
      <c r="F129" s="51">
        <v>0.52800000000000002</v>
      </c>
      <c r="G129" s="44">
        <v>0.108</v>
      </c>
      <c r="H129" s="44">
        <v>6.5000000000000002E-2</v>
      </c>
      <c r="I129" s="51">
        <v>0.48499999999999999</v>
      </c>
      <c r="J129" s="48">
        <v>0.27400000000000002</v>
      </c>
      <c r="K129" s="50">
        <v>0.39</v>
      </c>
      <c r="L129" s="44">
        <v>6.6000000000000003E-2</v>
      </c>
      <c r="M129" s="56">
        <v>0.91800000000000004</v>
      </c>
      <c r="N129" s="44">
        <v>4.2000000000000003E-2</v>
      </c>
      <c r="O129" s="18">
        <v>570</v>
      </c>
      <c r="P129" s="1" t="s">
        <v>43</v>
      </c>
      <c r="Q129" s="2"/>
      <c r="R129" s="6" t="s">
        <v>11</v>
      </c>
      <c r="S129" s="4" t="s">
        <v>44</v>
      </c>
      <c r="T129" s="4" t="s">
        <v>45</v>
      </c>
      <c r="U129" s="4" t="s">
        <v>46</v>
      </c>
      <c r="V129" s="6" t="s">
        <v>11</v>
      </c>
      <c r="W129" s="4" t="s">
        <v>47</v>
      </c>
      <c r="X129" s="4" t="s">
        <v>48</v>
      </c>
      <c r="Y129" s="4" t="s">
        <v>49</v>
      </c>
      <c r="Z129" s="6" t="s">
        <v>11</v>
      </c>
      <c r="AA129" s="4" t="s">
        <v>50</v>
      </c>
      <c r="AB129" s="5"/>
    </row>
    <row r="130" spans="2:38" x14ac:dyDescent="0.2">
      <c r="B130" s="43" t="s">
        <v>51</v>
      </c>
      <c r="C130" s="44">
        <v>4.1000000000000002E-2</v>
      </c>
      <c r="D130" s="44">
        <v>0.04</v>
      </c>
      <c r="E130" s="44">
        <v>4.1000000000000002E-2</v>
      </c>
      <c r="F130" s="44">
        <v>0.04</v>
      </c>
      <c r="G130" s="44">
        <v>4.2999999999999997E-2</v>
      </c>
      <c r="H130" s="44">
        <v>4.1000000000000002E-2</v>
      </c>
      <c r="I130" s="44">
        <v>4.1000000000000002E-2</v>
      </c>
      <c r="J130" s="44">
        <v>4.1000000000000002E-2</v>
      </c>
      <c r="K130" s="44">
        <v>5.0999999999999997E-2</v>
      </c>
      <c r="L130" s="44">
        <v>4.1000000000000002E-2</v>
      </c>
      <c r="M130" s="44">
        <v>4.1000000000000002E-2</v>
      </c>
      <c r="N130" s="44">
        <v>4.2000000000000003E-2</v>
      </c>
      <c r="O130" s="18">
        <v>570</v>
      </c>
      <c r="P130" s="1" t="s">
        <v>51</v>
      </c>
      <c r="Q130" s="2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2" spans="2:38" x14ac:dyDescent="0.2">
      <c r="B132" s="57" t="s">
        <v>85</v>
      </c>
      <c r="P132" s="57" t="s">
        <v>86</v>
      </c>
    </row>
    <row r="133" spans="2:38" x14ac:dyDescent="0.2">
      <c r="C133" s="58" t="s">
        <v>87</v>
      </c>
      <c r="D133">
        <f>AVERAGE(D130:N130,N123:N129,D123:M123,C123:C130)</f>
        <v>4.1638888888888885E-2</v>
      </c>
      <c r="AE133" t="s">
        <v>88</v>
      </c>
      <c r="AH133" t="s">
        <v>89</v>
      </c>
    </row>
    <row r="134" spans="2:38" x14ac:dyDescent="0.2">
      <c r="C134" s="58" t="s">
        <v>90</v>
      </c>
      <c r="D134">
        <f>D124</f>
        <v>1.4379999999999999</v>
      </c>
      <c r="E134">
        <f>D126</f>
        <v>1.413</v>
      </c>
      <c r="F134">
        <f>D128</f>
        <v>1.573</v>
      </c>
      <c r="G134">
        <f>H124</f>
        <v>1.2609999999999999</v>
      </c>
      <c r="H134">
        <f>H126</f>
        <v>1.4279999999999999</v>
      </c>
      <c r="I134">
        <f>H128</f>
        <v>1.5209999999999999</v>
      </c>
      <c r="J134">
        <f>L124</f>
        <v>1.208</v>
      </c>
      <c r="K134">
        <f>L126</f>
        <v>1.4610000000000001</v>
      </c>
      <c r="L134">
        <f>L128</f>
        <v>1.4119999999999999</v>
      </c>
      <c r="Q134" s="58" t="s">
        <v>90</v>
      </c>
      <c r="R134">
        <f>D134-$D$133</f>
        <v>1.3963611111111112</v>
      </c>
      <c r="S134">
        <f t="shared" ref="S134:Y134" si="40">E134-$D$133</f>
        <v>1.3713611111111113</v>
      </c>
      <c r="T134">
        <f t="shared" si="40"/>
        <v>1.5313611111111112</v>
      </c>
      <c r="U134">
        <f t="shared" si="40"/>
        <v>1.2193611111111111</v>
      </c>
      <c r="V134">
        <f t="shared" si="40"/>
        <v>1.3863611111111112</v>
      </c>
      <c r="W134">
        <f t="shared" si="40"/>
        <v>1.4793611111111111</v>
      </c>
      <c r="X134">
        <f t="shared" si="40"/>
        <v>1.1663611111111112</v>
      </c>
      <c r="Y134">
        <f t="shared" si="40"/>
        <v>1.4193611111111113</v>
      </c>
      <c r="Z134">
        <f>L134-$D$133</f>
        <v>1.3703611111111111</v>
      </c>
      <c r="AE134" t="s">
        <v>91</v>
      </c>
      <c r="AF134">
        <f>AVERAGE(R134:Z134)</f>
        <v>1.3711388888888889</v>
      </c>
      <c r="AH134" t="s">
        <v>91</v>
      </c>
      <c r="AI134">
        <f>AVERAGE(R136:Z136)</f>
        <v>2.9805555555555561E-2</v>
      </c>
      <c r="AK134" s="59" t="s">
        <v>92</v>
      </c>
      <c r="AL134" s="59">
        <f>1- ((3*(AF135+AI135))/(AF134-AI134))</f>
        <v>0.70254608519521233</v>
      </c>
    </row>
    <row r="135" spans="2:38" x14ac:dyDescent="0.2">
      <c r="C135" s="58"/>
      <c r="G135" s="60"/>
      <c r="Q135" s="58"/>
      <c r="AE135" t="s">
        <v>93</v>
      </c>
      <c r="AF135">
        <f>STDEV(R134:Z134)</f>
        <v>0.11486271999410622</v>
      </c>
      <c r="AH135" t="s">
        <v>93</v>
      </c>
      <c r="AI135">
        <f>STDEV(R136:Z136)</f>
        <v>1.8132230358612198E-2</v>
      </c>
      <c r="AK135" s="59"/>
      <c r="AL135" s="59"/>
    </row>
    <row r="136" spans="2:38" x14ac:dyDescent="0.2">
      <c r="C136" s="58" t="s">
        <v>11</v>
      </c>
      <c r="D136">
        <f>D125</f>
        <v>0.11600000000000001</v>
      </c>
      <c r="E136">
        <f>D127</f>
        <v>6.3E-2</v>
      </c>
      <c r="F136">
        <f>D129</f>
        <v>5.7000000000000002E-2</v>
      </c>
      <c r="G136">
        <f>H125</f>
        <v>7.1999999999999995E-2</v>
      </c>
      <c r="H136">
        <f>H127</f>
        <v>8.1000000000000003E-2</v>
      </c>
      <c r="I136">
        <f>H129</f>
        <v>6.5000000000000002E-2</v>
      </c>
      <c r="J136">
        <f>L125</f>
        <v>6.3E-2</v>
      </c>
      <c r="K136">
        <f>L127</f>
        <v>0.06</v>
      </c>
      <c r="L136">
        <f>L129</f>
        <v>6.6000000000000003E-2</v>
      </c>
      <c r="Q136" s="58" t="s">
        <v>11</v>
      </c>
      <c r="R136">
        <f>D136-$D$133</f>
        <v>7.4361111111111128E-2</v>
      </c>
      <c r="S136">
        <f t="shared" ref="S136:Y136" si="41">E136-$D$133</f>
        <v>2.1361111111111115E-2</v>
      </c>
      <c r="T136">
        <f t="shared" si="41"/>
        <v>1.5361111111111117E-2</v>
      </c>
      <c r="U136">
        <f t="shared" si="41"/>
        <v>3.036111111111111E-2</v>
      </c>
      <c r="V136">
        <f t="shared" si="41"/>
        <v>3.9361111111111118E-2</v>
      </c>
      <c r="W136">
        <f t="shared" si="41"/>
        <v>2.3361111111111117E-2</v>
      </c>
      <c r="X136">
        <f t="shared" si="41"/>
        <v>2.1361111111111115E-2</v>
      </c>
      <c r="Y136">
        <f t="shared" si="41"/>
        <v>1.8361111111111113E-2</v>
      </c>
      <c r="Z136">
        <f>L136-$D$133</f>
        <v>2.4361111111111118E-2</v>
      </c>
      <c r="AB136" s="58" t="s">
        <v>94</v>
      </c>
      <c r="AC136" s="58" t="s">
        <v>95</v>
      </c>
      <c r="AD136" s="58"/>
      <c r="AE136" t="s">
        <v>96</v>
      </c>
      <c r="AF136">
        <f>AF135*100/AF134</f>
        <v>8.3771761507826508</v>
      </c>
    </row>
    <row r="137" spans="2:38" x14ac:dyDescent="0.2">
      <c r="C137" s="58"/>
      <c r="D137" s="60"/>
      <c r="Q137" s="58"/>
      <c r="AB137" s="58"/>
      <c r="AC137" s="58"/>
      <c r="AD137" s="58"/>
      <c r="AE137" t="s">
        <v>97</v>
      </c>
      <c r="AF137">
        <f>3*AF135</f>
        <v>0.34458815998231862</v>
      </c>
    </row>
    <row r="138" spans="2:38" x14ac:dyDescent="0.2">
      <c r="C138" s="61" t="str">
        <f>S124</f>
        <v>CMU 1</v>
      </c>
      <c r="D138">
        <f>E124</f>
        <v>0.89800000000000002</v>
      </c>
      <c r="P138" s="60"/>
      <c r="Q138" s="62" t="str">
        <f>C138</f>
        <v>CMU 1</v>
      </c>
      <c r="R138">
        <f>D138-$D$133</f>
        <v>0.85636111111111113</v>
      </c>
      <c r="S138" s="60"/>
      <c r="Z138" s="60"/>
      <c r="AA138" s="62" t="str">
        <f>C138</f>
        <v>CMU 1</v>
      </c>
      <c r="AB138">
        <f>R138*100/$AF$134</f>
        <v>62.456190109600705</v>
      </c>
    </row>
    <row r="139" spans="2:38" x14ac:dyDescent="0.2">
      <c r="C139" s="61" t="str">
        <f>S125</f>
        <v>CMU 2</v>
      </c>
      <c r="D139">
        <f>E125</f>
        <v>0.86799999999999999</v>
      </c>
      <c r="P139" s="60"/>
      <c r="Q139" s="62" t="str">
        <f t="shared" ref="Q139:Q179" si="42">C139</f>
        <v>CMU 2</v>
      </c>
      <c r="R139">
        <f t="shared" ref="R139:R179" si="43">D139-$D$133</f>
        <v>0.8263611111111111</v>
      </c>
      <c r="S139" s="60"/>
      <c r="Z139" s="60"/>
      <c r="AA139" s="62" t="str">
        <f t="shared" ref="AA139:AA179" si="44">C139</f>
        <v>CMU 2</v>
      </c>
      <c r="AB139">
        <f t="shared" ref="AB139:AB179" si="45">R139*100/$AF$134</f>
        <v>60.26822795324243</v>
      </c>
    </row>
    <row r="140" spans="2:38" x14ac:dyDescent="0.2">
      <c r="C140" s="61" t="str">
        <f t="shared" ref="C140:C143" si="46">S126</f>
        <v>CMU 3</v>
      </c>
      <c r="D140">
        <f>E126</f>
        <v>1.117</v>
      </c>
      <c r="P140" s="60"/>
      <c r="Q140" s="62" t="str">
        <f t="shared" si="42"/>
        <v>CMU 3</v>
      </c>
      <c r="R140">
        <f t="shared" si="43"/>
        <v>1.0753611111111112</v>
      </c>
      <c r="S140" s="60"/>
      <c r="Z140" s="60"/>
      <c r="AA140" s="62" t="str">
        <f t="shared" si="44"/>
        <v>CMU 3</v>
      </c>
      <c r="AB140">
        <f t="shared" si="45"/>
        <v>78.428313851016</v>
      </c>
    </row>
    <row r="141" spans="2:38" x14ac:dyDescent="0.2">
      <c r="C141" s="61" t="str">
        <f t="shared" si="46"/>
        <v>CMU 4</v>
      </c>
      <c r="D141">
        <f>E127</f>
        <v>0.57299999999999995</v>
      </c>
      <c r="P141" s="60"/>
      <c r="Q141" s="62" t="str">
        <f>C141</f>
        <v>CMU 4</v>
      </c>
      <c r="R141">
        <f>D141-$D$133</f>
        <v>0.53136111111111106</v>
      </c>
      <c r="S141" s="60"/>
      <c r="Z141" s="60"/>
      <c r="AA141" s="62" t="str">
        <f t="shared" si="44"/>
        <v>CMU 4</v>
      </c>
      <c r="AB141">
        <f t="shared" si="45"/>
        <v>38.753266749052891</v>
      </c>
    </row>
    <row r="142" spans="2:38" x14ac:dyDescent="0.2">
      <c r="C142" s="61" t="str">
        <f t="shared" si="46"/>
        <v>CMU 5</v>
      </c>
      <c r="D142">
        <f t="shared" ref="D142" si="47">E128</f>
        <v>8.2000000000000003E-2</v>
      </c>
      <c r="P142" s="60"/>
      <c r="Q142" s="62" t="str">
        <f t="shared" si="42"/>
        <v>CMU 5</v>
      </c>
      <c r="R142">
        <f>D142-$D$133</f>
        <v>4.0361111111111118E-2</v>
      </c>
      <c r="S142" s="60"/>
      <c r="Z142" s="60"/>
      <c r="AA142" s="62" t="str">
        <f t="shared" si="44"/>
        <v>CMU 5</v>
      </c>
      <c r="AB142">
        <f t="shared" si="45"/>
        <v>2.9436194566560645</v>
      </c>
    </row>
    <row r="143" spans="2:38" x14ac:dyDescent="0.2">
      <c r="C143" s="61" t="str">
        <f t="shared" si="46"/>
        <v>CMU 6</v>
      </c>
      <c r="D143">
        <f>E129</f>
        <v>0.23899999999999999</v>
      </c>
      <c r="P143" s="60"/>
      <c r="Q143" s="62" t="str">
        <f t="shared" si="42"/>
        <v>CMU 6</v>
      </c>
      <c r="R143">
        <f t="shared" si="43"/>
        <v>0.1973611111111111</v>
      </c>
      <c r="S143" s="60"/>
      <c r="Z143" s="60"/>
      <c r="AA143" s="62" t="str">
        <f t="shared" si="44"/>
        <v>CMU 6</v>
      </c>
      <c r="AB143">
        <f t="shared" si="45"/>
        <v>14.393954741597618</v>
      </c>
    </row>
    <row r="144" spans="2:38" x14ac:dyDescent="0.2">
      <c r="C144" s="61" t="str">
        <f>T124</f>
        <v>CMU 7</v>
      </c>
      <c r="D144">
        <f>F124</f>
        <v>5.3999999999999999E-2</v>
      </c>
      <c r="P144" s="60"/>
      <c r="Q144" s="62" t="str">
        <f t="shared" si="42"/>
        <v>CMU 7</v>
      </c>
      <c r="R144">
        <f t="shared" si="43"/>
        <v>1.2361111111111114E-2</v>
      </c>
      <c r="S144" s="60"/>
      <c r="Z144" s="60"/>
      <c r="AA144" s="62" t="str">
        <f t="shared" si="44"/>
        <v>CMU 7</v>
      </c>
      <c r="AB144">
        <f t="shared" si="45"/>
        <v>0.90152144405502344</v>
      </c>
    </row>
    <row r="145" spans="3:28" x14ac:dyDescent="0.2">
      <c r="C145" s="61" t="str">
        <f t="shared" ref="C145:C148" si="48">T125</f>
        <v>CMU 8</v>
      </c>
      <c r="D145">
        <f>F125</f>
        <v>0.33100000000000002</v>
      </c>
      <c r="P145" s="60"/>
      <c r="Q145" s="62" t="str">
        <f t="shared" si="42"/>
        <v>CMU 8</v>
      </c>
      <c r="R145">
        <f t="shared" si="43"/>
        <v>0.28936111111111112</v>
      </c>
      <c r="S145" s="60"/>
      <c r="Z145" s="60"/>
      <c r="AA145" s="62" t="str">
        <f t="shared" si="44"/>
        <v>CMU 8</v>
      </c>
      <c r="AB145">
        <f t="shared" si="45"/>
        <v>21.103705354429611</v>
      </c>
    </row>
    <row r="146" spans="3:28" x14ac:dyDescent="0.2">
      <c r="C146" s="61" t="str">
        <f t="shared" si="48"/>
        <v>CMU 9</v>
      </c>
      <c r="D146">
        <f t="shared" ref="D146:D148" si="49">F126</f>
        <v>0.878</v>
      </c>
      <c r="P146" s="60"/>
      <c r="Q146" s="62" t="str">
        <f t="shared" si="42"/>
        <v>CMU 9</v>
      </c>
      <c r="R146">
        <f t="shared" si="43"/>
        <v>0.83636111111111111</v>
      </c>
      <c r="S146" s="60"/>
      <c r="Z146" s="60"/>
      <c r="AA146" s="62" t="str">
        <f t="shared" si="44"/>
        <v>CMU 9</v>
      </c>
      <c r="AB146">
        <f t="shared" si="45"/>
        <v>60.997548672028522</v>
      </c>
    </row>
    <row r="147" spans="3:28" x14ac:dyDescent="0.2">
      <c r="C147" s="61" t="str">
        <f t="shared" si="48"/>
        <v>CMU 10</v>
      </c>
      <c r="D147">
        <f t="shared" si="49"/>
        <v>0.56100000000000005</v>
      </c>
      <c r="P147" s="60"/>
      <c r="Q147" s="62" t="str">
        <f t="shared" si="42"/>
        <v>CMU 10</v>
      </c>
      <c r="R147">
        <f t="shared" si="43"/>
        <v>0.51936111111111116</v>
      </c>
      <c r="S147" s="60"/>
      <c r="Z147" s="60"/>
      <c r="AA147" s="62" t="str">
        <f t="shared" si="44"/>
        <v>CMU 10</v>
      </c>
      <c r="AB147">
        <f t="shared" si="45"/>
        <v>37.878081886509598</v>
      </c>
    </row>
    <row r="148" spans="3:28" x14ac:dyDescent="0.2">
      <c r="C148" s="61" t="str">
        <f t="shared" si="48"/>
        <v>CMU 11</v>
      </c>
      <c r="D148">
        <f t="shared" si="49"/>
        <v>0.58699999999999997</v>
      </c>
      <c r="P148" s="60"/>
      <c r="Q148" s="62" t="str">
        <f t="shared" si="42"/>
        <v>CMU 11</v>
      </c>
      <c r="R148">
        <f t="shared" si="43"/>
        <v>0.54536111111111107</v>
      </c>
      <c r="S148" s="60"/>
      <c r="Z148" s="60"/>
      <c r="AA148" s="62" t="str">
        <f t="shared" si="44"/>
        <v>CMU 11</v>
      </c>
      <c r="AB148">
        <f t="shared" si="45"/>
        <v>39.774315755353413</v>
      </c>
    </row>
    <row r="149" spans="3:28" x14ac:dyDescent="0.2">
      <c r="C149" s="61" t="str">
        <f>T129</f>
        <v>CMU 12</v>
      </c>
      <c r="D149">
        <f>F129</f>
        <v>0.52800000000000002</v>
      </c>
      <c r="P149" s="60"/>
      <c r="Q149" s="62" t="str">
        <f t="shared" si="42"/>
        <v>CMU 12</v>
      </c>
      <c r="R149">
        <f t="shared" si="43"/>
        <v>0.48636111111111113</v>
      </c>
      <c r="S149" s="60"/>
      <c r="Z149" s="60"/>
      <c r="AA149" s="62" t="str">
        <f t="shared" si="44"/>
        <v>CMU 12</v>
      </c>
      <c r="AB149">
        <f t="shared" si="45"/>
        <v>35.471323514515511</v>
      </c>
    </row>
    <row r="150" spans="3:28" x14ac:dyDescent="0.2">
      <c r="C150" s="61" t="str">
        <f t="shared" ref="C150:C155" si="50">U124</f>
        <v>CMU 13</v>
      </c>
      <c r="D150">
        <f>G124</f>
        <v>0.16600000000000001</v>
      </c>
      <c r="P150" s="60"/>
      <c r="Q150" s="62" t="str">
        <f t="shared" si="42"/>
        <v>CMU 13</v>
      </c>
      <c r="R150">
        <f t="shared" si="43"/>
        <v>0.12436111111111112</v>
      </c>
      <c r="S150" s="60"/>
      <c r="Z150" s="60"/>
      <c r="AA150" s="62" t="str">
        <f t="shared" si="44"/>
        <v>CMU 13</v>
      </c>
      <c r="AB150">
        <f t="shared" si="45"/>
        <v>9.0699134944591879</v>
      </c>
    </row>
    <row r="151" spans="3:28" x14ac:dyDescent="0.2">
      <c r="C151" s="61" t="str">
        <f t="shared" si="50"/>
        <v>CMU 14</v>
      </c>
      <c r="D151">
        <f>G125</f>
        <v>0.41699999999999998</v>
      </c>
      <c r="P151" s="60"/>
      <c r="Q151" s="62" t="str">
        <f t="shared" si="42"/>
        <v>CMU 14</v>
      </c>
      <c r="R151">
        <f t="shared" si="43"/>
        <v>0.37536111111111109</v>
      </c>
      <c r="S151" s="60"/>
      <c r="Z151" s="60"/>
      <c r="AA151" s="62" t="str">
        <f t="shared" si="44"/>
        <v>CMU 14</v>
      </c>
      <c r="AB151">
        <f t="shared" si="45"/>
        <v>27.37586353598995</v>
      </c>
    </row>
    <row r="152" spans="3:28" x14ac:dyDescent="0.2">
      <c r="C152" s="61" t="str">
        <f t="shared" si="50"/>
        <v>CMU 15</v>
      </c>
      <c r="D152">
        <f t="shared" ref="D152:D154" si="51">G126</f>
        <v>0.47799999999999998</v>
      </c>
      <c r="P152" s="60"/>
      <c r="Q152" s="62" t="str">
        <f t="shared" si="42"/>
        <v>CMU 15</v>
      </c>
      <c r="R152">
        <f t="shared" si="43"/>
        <v>0.43636111111111109</v>
      </c>
      <c r="S152" s="60"/>
      <c r="Z152" s="60"/>
      <c r="AA152" s="62" t="str">
        <f t="shared" si="44"/>
        <v>CMU 15</v>
      </c>
      <c r="AB152">
        <f t="shared" si="45"/>
        <v>31.824719920585071</v>
      </c>
    </row>
    <row r="153" spans="3:28" x14ac:dyDescent="0.2">
      <c r="C153" s="61" t="str">
        <f t="shared" si="50"/>
        <v>CMU 16</v>
      </c>
      <c r="D153">
        <f t="shared" si="51"/>
        <v>0.46</v>
      </c>
      <c r="P153" s="60"/>
      <c r="Q153" s="62" t="str">
        <f t="shared" si="42"/>
        <v>CMU 16</v>
      </c>
      <c r="R153">
        <f t="shared" si="43"/>
        <v>0.41836111111111113</v>
      </c>
      <c r="S153" s="60"/>
      <c r="Z153" s="60"/>
      <c r="AA153" s="62" t="str">
        <f t="shared" si="44"/>
        <v>CMU 16</v>
      </c>
      <c r="AB153">
        <f t="shared" si="45"/>
        <v>30.511942626770125</v>
      </c>
    </row>
    <row r="154" spans="3:28" x14ac:dyDescent="0.2">
      <c r="C154" s="61" t="str">
        <f t="shared" si="50"/>
        <v>CMU 17</v>
      </c>
      <c r="D154">
        <f t="shared" si="51"/>
        <v>0.152</v>
      </c>
      <c r="P154" s="60"/>
      <c r="Q154" s="62" t="str">
        <f t="shared" si="42"/>
        <v>CMU 17</v>
      </c>
      <c r="R154">
        <f t="shared" si="43"/>
        <v>0.1103611111111111</v>
      </c>
      <c r="S154" s="60"/>
      <c r="Z154" s="60"/>
      <c r="AA154" s="62" t="str">
        <f t="shared" si="44"/>
        <v>CMU 17</v>
      </c>
      <c r="AB154">
        <f t="shared" si="45"/>
        <v>8.0488644881586673</v>
      </c>
    </row>
    <row r="155" spans="3:28" x14ac:dyDescent="0.2">
      <c r="C155" s="61" t="str">
        <f t="shared" si="50"/>
        <v>CMU 18</v>
      </c>
      <c r="D155">
        <f>G129</f>
        <v>0.108</v>
      </c>
      <c r="P155" s="60"/>
      <c r="Q155" s="62" t="str">
        <f t="shared" si="42"/>
        <v>CMU 18</v>
      </c>
      <c r="R155">
        <f t="shared" si="43"/>
        <v>6.6361111111111121E-2</v>
      </c>
      <c r="S155" s="60"/>
      <c r="Z155" s="60"/>
      <c r="AA155" s="62" t="str">
        <f t="shared" si="44"/>
        <v>CMU 18</v>
      </c>
      <c r="AB155">
        <f t="shared" si="45"/>
        <v>4.839853325499889</v>
      </c>
    </row>
    <row r="156" spans="3:28" x14ac:dyDescent="0.2">
      <c r="C156" s="61" t="str">
        <f>W124</f>
        <v>CMU 19</v>
      </c>
      <c r="D156">
        <f>I124</f>
        <v>0.24399999999999999</v>
      </c>
      <c r="P156" s="60"/>
      <c r="Q156" s="62" t="str">
        <f t="shared" si="42"/>
        <v>CMU 19</v>
      </c>
      <c r="R156">
        <f t="shared" si="43"/>
        <v>0.2023611111111111</v>
      </c>
      <c r="S156" s="60"/>
      <c r="Z156" s="60"/>
      <c r="AA156" s="62" t="str">
        <f t="shared" si="44"/>
        <v>CMU 19</v>
      </c>
      <c r="AB156">
        <f t="shared" si="45"/>
        <v>14.75861510099066</v>
      </c>
    </row>
    <row r="157" spans="3:28" x14ac:dyDescent="0.2">
      <c r="C157" s="61" t="str">
        <f t="shared" ref="C157:C160" si="52">W125</f>
        <v>CMU 20</v>
      </c>
      <c r="D157">
        <f>I125</f>
        <v>5.6000000000000001E-2</v>
      </c>
      <c r="P157" s="60"/>
      <c r="Q157" s="62" t="str">
        <f t="shared" si="42"/>
        <v>CMU 20</v>
      </c>
      <c r="R157">
        <f t="shared" si="43"/>
        <v>1.4361111111111116E-2</v>
      </c>
      <c r="S157" s="60"/>
      <c r="Z157" s="60"/>
      <c r="AA157" s="62" t="str">
        <f t="shared" si="44"/>
        <v>CMU 20</v>
      </c>
      <c r="AB157">
        <f t="shared" si="45"/>
        <v>1.0473855878122407</v>
      </c>
    </row>
    <row r="158" spans="3:28" x14ac:dyDescent="0.2">
      <c r="C158" s="61" t="str">
        <f t="shared" si="52"/>
        <v>CMU 21</v>
      </c>
      <c r="D158">
        <f t="shared" ref="D158:D160" si="53">I126</f>
        <v>0.52300000000000002</v>
      </c>
      <c r="P158" s="60"/>
      <c r="Q158" s="62" t="str">
        <f t="shared" si="42"/>
        <v>CMU 21</v>
      </c>
      <c r="R158">
        <f>D158-$D$133</f>
        <v>0.48136111111111113</v>
      </c>
      <c r="S158" s="60"/>
      <c r="Z158" s="60"/>
      <c r="AA158" s="62" t="str">
        <f t="shared" si="44"/>
        <v>CMU 21</v>
      </c>
      <c r="AB158">
        <f t="shared" si="45"/>
        <v>35.106663155122469</v>
      </c>
    </row>
    <row r="159" spans="3:28" x14ac:dyDescent="0.2">
      <c r="C159" s="61" t="str">
        <f t="shared" si="52"/>
        <v>CMU 22</v>
      </c>
      <c r="D159">
        <f t="shared" si="53"/>
        <v>0.84599999999999997</v>
      </c>
      <c r="P159" s="60"/>
      <c r="Q159" s="62" t="str">
        <f t="shared" si="42"/>
        <v>CMU 22</v>
      </c>
      <c r="R159">
        <f t="shared" si="43"/>
        <v>0.80436111111111108</v>
      </c>
      <c r="S159" s="60"/>
      <c r="Z159" s="60"/>
      <c r="AA159" s="62" t="str">
        <f t="shared" si="44"/>
        <v>CMU 22</v>
      </c>
      <c r="AB159">
        <f t="shared" si="45"/>
        <v>58.663722371913039</v>
      </c>
    </row>
    <row r="160" spans="3:28" x14ac:dyDescent="0.2">
      <c r="C160" s="61" t="str">
        <f t="shared" si="52"/>
        <v>CMU 23</v>
      </c>
      <c r="D160">
        <f t="shared" si="53"/>
        <v>0.55600000000000005</v>
      </c>
      <c r="P160" s="60"/>
      <c r="Q160" s="62" t="str">
        <f t="shared" si="42"/>
        <v>CMU 23</v>
      </c>
      <c r="R160">
        <f t="shared" si="43"/>
        <v>0.51436111111111116</v>
      </c>
      <c r="S160" s="60"/>
      <c r="Z160" s="60"/>
      <c r="AA160" s="62" t="str">
        <f t="shared" si="44"/>
        <v>CMU 23</v>
      </c>
      <c r="AB160">
        <f t="shared" si="45"/>
        <v>37.513421527116556</v>
      </c>
    </row>
    <row r="161" spans="3:28" x14ac:dyDescent="0.2">
      <c r="C161" s="61" t="str">
        <f>W129</f>
        <v>CMU 24</v>
      </c>
      <c r="D161">
        <f>I129</f>
        <v>0.48499999999999999</v>
      </c>
      <c r="P161" s="60"/>
      <c r="Q161" s="62" t="str">
        <f t="shared" si="42"/>
        <v>CMU 24</v>
      </c>
      <c r="R161">
        <f t="shared" si="43"/>
        <v>0.44336111111111109</v>
      </c>
      <c r="S161" s="60"/>
      <c r="Z161" s="60"/>
      <c r="AA161" s="62" t="str">
        <f t="shared" si="44"/>
        <v>CMU 24</v>
      </c>
      <c r="AB161">
        <f t="shared" si="45"/>
        <v>32.335244423735332</v>
      </c>
    </row>
    <row r="162" spans="3:28" x14ac:dyDescent="0.2">
      <c r="C162" s="61" t="str">
        <f t="shared" ref="C162:C167" si="54">X124</f>
        <v>CMU 25</v>
      </c>
      <c r="D162">
        <f>J124</f>
        <v>0.129</v>
      </c>
      <c r="P162" s="60"/>
      <c r="Q162" s="62" t="str">
        <f t="shared" si="42"/>
        <v>CMU 25</v>
      </c>
      <c r="R162">
        <f t="shared" si="43"/>
        <v>8.7361111111111112E-2</v>
      </c>
      <c r="S162" s="60"/>
      <c r="Z162" s="60"/>
      <c r="AA162" s="62" t="str">
        <f t="shared" si="44"/>
        <v>CMU 25</v>
      </c>
      <c r="AB162">
        <f t="shared" si="45"/>
        <v>6.3714268349506691</v>
      </c>
    </row>
    <row r="163" spans="3:28" x14ac:dyDescent="0.2">
      <c r="C163" s="61" t="str">
        <f t="shared" si="54"/>
        <v>CMU 26</v>
      </c>
      <c r="D163">
        <f>J125</f>
        <v>0.41199999999999998</v>
      </c>
      <c r="P163" s="60"/>
      <c r="Q163" s="62" t="str">
        <f t="shared" si="42"/>
        <v>CMU 26</v>
      </c>
      <c r="R163">
        <f t="shared" si="43"/>
        <v>0.37036111111111109</v>
      </c>
      <c r="S163" s="60"/>
      <c r="Z163" s="60"/>
      <c r="AA163" s="62" t="str">
        <f t="shared" si="44"/>
        <v>CMU 26</v>
      </c>
      <c r="AB163">
        <f t="shared" si="45"/>
        <v>27.011203176596908</v>
      </c>
    </row>
    <row r="164" spans="3:28" x14ac:dyDescent="0.2">
      <c r="C164" s="61" t="str">
        <f t="shared" si="54"/>
        <v>CMU 27</v>
      </c>
      <c r="D164">
        <f t="shared" ref="D164:D166" si="55">J126</f>
        <v>0.35499999999999998</v>
      </c>
      <c r="P164" s="60"/>
      <c r="Q164" s="62" t="str">
        <f t="shared" si="42"/>
        <v>CMU 27</v>
      </c>
      <c r="R164">
        <f t="shared" si="43"/>
        <v>0.31336111111111109</v>
      </c>
      <c r="S164" s="60"/>
      <c r="Z164" s="60"/>
      <c r="AA164" s="62" t="str">
        <f t="shared" si="44"/>
        <v>CMU 27</v>
      </c>
      <c r="AB164">
        <f t="shared" si="45"/>
        <v>22.854075079516214</v>
      </c>
    </row>
    <row r="165" spans="3:28" x14ac:dyDescent="0.2">
      <c r="C165" s="61" t="str">
        <f t="shared" si="54"/>
        <v>CMU 28</v>
      </c>
      <c r="D165">
        <f t="shared" si="55"/>
        <v>0.33600000000000002</v>
      </c>
      <c r="P165" s="60"/>
      <c r="Q165" s="62" t="str">
        <f t="shared" si="42"/>
        <v>CMU 28</v>
      </c>
      <c r="R165">
        <f t="shared" si="43"/>
        <v>0.29436111111111113</v>
      </c>
      <c r="S165" s="60"/>
      <c r="Z165" s="60"/>
      <c r="AA165" s="62" t="str">
        <f t="shared" si="44"/>
        <v>CMU 28</v>
      </c>
      <c r="AB165">
        <f t="shared" si="45"/>
        <v>21.468365713822656</v>
      </c>
    </row>
    <row r="166" spans="3:28" x14ac:dyDescent="0.2">
      <c r="C166" s="61" t="str">
        <f t="shared" si="54"/>
        <v>CMU 29</v>
      </c>
      <c r="D166">
        <f t="shared" si="55"/>
        <v>4.2999999999999997E-2</v>
      </c>
      <c r="P166" s="60"/>
      <c r="Q166" s="62" t="str">
        <f t="shared" si="42"/>
        <v>CMU 29</v>
      </c>
      <c r="R166">
        <f t="shared" si="43"/>
        <v>1.3611111111111115E-3</v>
      </c>
      <c r="S166" s="60"/>
      <c r="Z166" s="60"/>
      <c r="AA166" s="62" t="str">
        <f t="shared" si="44"/>
        <v>CMU 29</v>
      </c>
      <c r="AB166">
        <f t="shared" si="45"/>
        <v>9.9268653390328421E-2</v>
      </c>
    </row>
    <row r="167" spans="3:28" x14ac:dyDescent="0.2">
      <c r="C167" s="61" t="str">
        <f t="shared" si="54"/>
        <v>CMU 30</v>
      </c>
      <c r="D167">
        <f>J129</f>
        <v>0.27400000000000002</v>
      </c>
      <c r="P167" s="60"/>
      <c r="Q167" s="62" t="str">
        <f t="shared" si="42"/>
        <v>CMU 30</v>
      </c>
      <c r="R167">
        <f t="shared" si="43"/>
        <v>0.23236111111111113</v>
      </c>
      <c r="S167" s="60"/>
      <c r="Z167" s="60"/>
      <c r="AA167" s="62" t="str">
        <f t="shared" si="44"/>
        <v>CMU 30</v>
      </c>
      <c r="AB167">
        <f t="shared" si="45"/>
        <v>16.94657725734892</v>
      </c>
    </row>
    <row r="168" spans="3:28" x14ac:dyDescent="0.2">
      <c r="C168" s="61" t="str">
        <f t="shared" ref="C168:C173" si="56">Y124</f>
        <v>CMU 31</v>
      </c>
      <c r="D168">
        <f>K124</f>
        <v>0.23</v>
      </c>
      <c r="P168" s="60"/>
      <c r="Q168" s="62" t="str">
        <f t="shared" si="42"/>
        <v>CMU 31</v>
      </c>
      <c r="R168">
        <f t="shared" si="43"/>
        <v>0.18836111111111112</v>
      </c>
      <c r="S168" s="60"/>
      <c r="Z168" s="60"/>
      <c r="AA168" s="62" t="str">
        <f t="shared" si="44"/>
        <v>CMU 31</v>
      </c>
      <c r="AB168">
        <f t="shared" si="45"/>
        <v>13.737566094690141</v>
      </c>
    </row>
    <row r="169" spans="3:28" x14ac:dyDescent="0.2">
      <c r="C169" s="61" t="str">
        <f t="shared" si="56"/>
        <v>CMU 32</v>
      </c>
      <c r="D169">
        <f>K125</f>
        <v>0.157</v>
      </c>
      <c r="P169" s="60"/>
      <c r="Q169" s="62" t="str">
        <f t="shared" si="42"/>
        <v>CMU 32</v>
      </c>
      <c r="R169">
        <f t="shared" si="43"/>
        <v>0.11536111111111111</v>
      </c>
      <c r="S169" s="60"/>
      <c r="Z169" s="60"/>
      <c r="AA169" s="62" t="str">
        <f t="shared" si="44"/>
        <v>CMU 32</v>
      </c>
      <c r="AB169">
        <f t="shared" si="45"/>
        <v>8.4135248475517113</v>
      </c>
    </row>
    <row r="170" spans="3:28" x14ac:dyDescent="0.2">
      <c r="C170" s="61" t="str">
        <f t="shared" si="56"/>
        <v>CMU 33</v>
      </c>
      <c r="D170">
        <f t="shared" ref="D170:D172" si="57">K126</f>
        <v>0.65</v>
      </c>
      <c r="P170" s="60"/>
      <c r="Q170" s="62" t="str">
        <f t="shared" si="42"/>
        <v>CMU 33</v>
      </c>
      <c r="R170">
        <f t="shared" si="43"/>
        <v>0.60836111111111113</v>
      </c>
      <c r="S170" s="60"/>
      <c r="Z170" s="60"/>
      <c r="AA170" s="62" t="str">
        <f t="shared" si="44"/>
        <v>CMU 33</v>
      </c>
      <c r="AB170">
        <f t="shared" si="45"/>
        <v>44.369036283705761</v>
      </c>
    </row>
    <row r="171" spans="3:28" x14ac:dyDescent="0.2">
      <c r="C171" s="61" t="str">
        <f t="shared" si="56"/>
        <v>CMU 34</v>
      </c>
      <c r="D171">
        <f t="shared" si="57"/>
        <v>0.52900000000000003</v>
      </c>
      <c r="P171" s="60"/>
      <c r="Q171" s="62" t="str">
        <f t="shared" si="42"/>
        <v>CMU 34</v>
      </c>
      <c r="R171">
        <f t="shared" si="43"/>
        <v>0.48736111111111113</v>
      </c>
      <c r="S171" s="60"/>
      <c r="Z171" s="60"/>
      <c r="AA171" s="62" t="str">
        <f t="shared" si="44"/>
        <v>CMU 34</v>
      </c>
      <c r="AB171">
        <f t="shared" si="45"/>
        <v>35.544255586394115</v>
      </c>
    </row>
    <row r="172" spans="3:28" x14ac:dyDescent="0.2">
      <c r="C172" s="61" t="str">
        <f t="shared" si="56"/>
        <v>CMU 35</v>
      </c>
      <c r="D172">
        <f t="shared" si="57"/>
        <v>0.81399999999999995</v>
      </c>
      <c r="P172" s="60"/>
      <c r="Q172" s="62" t="str">
        <f t="shared" si="42"/>
        <v>CMU 35</v>
      </c>
      <c r="R172">
        <f t="shared" si="43"/>
        <v>0.77236111111111105</v>
      </c>
      <c r="S172" s="60"/>
      <c r="Z172" s="60"/>
      <c r="AA172" s="62" t="str">
        <f t="shared" si="44"/>
        <v>CMU 35</v>
      </c>
      <c r="AB172">
        <f t="shared" si="45"/>
        <v>56.329896071797563</v>
      </c>
    </row>
    <row r="173" spans="3:28" x14ac:dyDescent="0.2">
      <c r="C173" s="61" t="str">
        <f t="shared" si="56"/>
        <v>CMU 36</v>
      </c>
      <c r="D173">
        <f>K129</f>
        <v>0.39</v>
      </c>
      <c r="P173" s="60"/>
      <c r="Q173" s="62" t="str">
        <f t="shared" si="42"/>
        <v>CMU 36</v>
      </c>
      <c r="R173">
        <f t="shared" si="43"/>
        <v>0.34836111111111112</v>
      </c>
      <c r="S173" s="60"/>
      <c r="Z173" s="60"/>
      <c r="AA173" s="62" t="str">
        <f t="shared" si="44"/>
        <v>CMU 36</v>
      </c>
      <c r="AB173">
        <f t="shared" si="45"/>
        <v>25.406697595267516</v>
      </c>
    </row>
    <row r="174" spans="3:28" x14ac:dyDescent="0.2">
      <c r="C174" s="61" t="str">
        <f>AA124</f>
        <v>CMU 37</v>
      </c>
      <c r="D174">
        <f>M124</f>
        <v>0.10199999999999999</v>
      </c>
      <c r="P174" s="60"/>
      <c r="Q174" s="62" t="str">
        <f t="shared" si="42"/>
        <v>CMU 37</v>
      </c>
      <c r="R174">
        <f t="shared" si="43"/>
        <v>6.0361111111111108E-2</v>
      </c>
      <c r="S174" s="60"/>
      <c r="Z174" s="60"/>
      <c r="AA174" s="62" t="str">
        <f t="shared" si="44"/>
        <v>CMU 37</v>
      </c>
      <c r="AB174">
        <f t="shared" si="45"/>
        <v>4.4022608942282364</v>
      </c>
    </row>
    <row r="175" spans="3:28" x14ac:dyDescent="0.2">
      <c r="C175" s="61" t="str">
        <f t="shared" ref="C175:C179" si="58">AA125</f>
        <v>CMU 38</v>
      </c>
      <c r="D175">
        <f>M125</f>
        <v>0.35299999999999998</v>
      </c>
      <c r="P175" s="60"/>
      <c r="Q175" s="62" t="str">
        <f t="shared" si="42"/>
        <v>CMU 38</v>
      </c>
      <c r="R175">
        <f t="shared" si="43"/>
        <v>0.31136111111111109</v>
      </c>
      <c r="Z175" s="60"/>
      <c r="AA175" s="62" t="str">
        <f t="shared" si="44"/>
        <v>CMU 38</v>
      </c>
      <c r="AB175">
        <f t="shared" si="45"/>
        <v>22.708210935758999</v>
      </c>
    </row>
    <row r="176" spans="3:28" x14ac:dyDescent="0.2">
      <c r="C176" s="61" t="str">
        <f t="shared" si="58"/>
        <v>CMU 39</v>
      </c>
      <c r="D176">
        <f t="shared" ref="D176:D178" si="59">M126</f>
        <v>0.33700000000000002</v>
      </c>
      <c r="P176" s="60"/>
      <c r="Q176" s="62" t="str">
        <f t="shared" si="42"/>
        <v>CMU 39</v>
      </c>
      <c r="R176">
        <f t="shared" si="43"/>
        <v>0.29536111111111113</v>
      </c>
      <c r="S176" s="58"/>
      <c r="Z176" s="60"/>
      <c r="AA176" s="62" t="str">
        <f t="shared" si="44"/>
        <v>CMU 39</v>
      </c>
      <c r="AB176">
        <f t="shared" si="45"/>
        <v>21.541297785701261</v>
      </c>
    </row>
    <row r="177" spans="2:28" x14ac:dyDescent="0.2">
      <c r="C177" s="61" t="str">
        <f t="shared" si="58"/>
        <v>CMU 40</v>
      </c>
      <c r="D177">
        <f t="shared" si="59"/>
        <v>0.34599999999999997</v>
      </c>
      <c r="P177" s="60"/>
      <c r="Q177" s="62" t="str">
        <f t="shared" si="42"/>
        <v>CMU 40</v>
      </c>
      <c r="R177">
        <f t="shared" si="43"/>
        <v>0.30436111111111108</v>
      </c>
      <c r="Z177" s="60"/>
      <c r="AA177" s="62" t="str">
        <f t="shared" si="44"/>
        <v>CMU 40</v>
      </c>
      <c r="AB177">
        <f t="shared" si="45"/>
        <v>22.197686432608737</v>
      </c>
    </row>
    <row r="178" spans="2:28" x14ac:dyDescent="0.2">
      <c r="C178" s="61" t="str">
        <f t="shared" si="58"/>
        <v>CMU 41</v>
      </c>
      <c r="D178">
        <f t="shared" si="59"/>
        <v>1.123</v>
      </c>
      <c r="P178" s="60"/>
      <c r="Q178" s="62" t="str">
        <f t="shared" si="42"/>
        <v>CMU 41</v>
      </c>
      <c r="R178">
        <f t="shared" si="43"/>
        <v>1.0813611111111112</v>
      </c>
      <c r="Z178" s="60"/>
      <c r="AA178" s="62" t="str">
        <f t="shared" si="44"/>
        <v>CMU 41</v>
      </c>
      <c r="AB178">
        <f t="shared" si="45"/>
        <v>78.865906282287639</v>
      </c>
    </row>
    <row r="179" spans="2:28" x14ac:dyDescent="0.2">
      <c r="C179" s="61" t="str">
        <f t="shared" si="58"/>
        <v>CMU 42</v>
      </c>
      <c r="D179">
        <f>M129</f>
        <v>0.91800000000000004</v>
      </c>
      <c r="P179" s="60"/>
      <c r="Q179" s="62" t="str">
        <f t="shared" si="42"/>
        <v>CMU 42</v>
      </c>
      <c r="R179">
        <f t="shared" si="43"/>
        <v>0.87636111111111115</v>
      </c>
      <c r="Z179" s="60"/>
      <c r="AA179" s="62" t="str">
        <f t="shared" si="44"/>
        <v>CMU 42</v>
      </c>
      <c r="AB179">
        <f t="shared" si="45"/>
        <v>63.914831547172874</v>
      </c>
    </row>
    <row r="181" spans="2:28" x14ac:dyDescent="0.2">
      <c r="B181" s="7" t="s">
        <v>52</v>
      </c>
      <c r="C181" s="40">
        <v>45364</v>
      </c>
      <c r="D181" s="7" t="s">
        <v>59</v>
      </c>
      <c r="E181" s="41"/>
    </row>
    <row r="182" spans="2:28" x14ac:dyDescent="0.2">
      <c r="B182" s="42"/>
      <c r="C182" s="42">
        <v>1</v>
      </c>
      <c r="D182" s="42">
        <v>2</v>
      </c>
      <c r="E182" s="42">
        <v>3</v>
      </c>
      <c r="F182" s="42">
        <v>4</v>
      </c>
      <c r="G182" s="42">
        <v>5</v>
      </c>
      <c r="H182" s="42">
        <v>6</v>
      </c>
      <c r="I182" s="42">
        <v>7</v>
      </c>
      <c r="J182" s="42">
        <v>8</v>
      </c>
      <c r="K182" s="42">
        <v>9</v>
      </c>
      <c r="L182" s="42">
        <v>10</v>
      </c>
      <c r="M182" s="42">
        <v>11</v>
      </c>
      <c r="N182" s="42">
        <v>12</v>
      </c>
      <c r="Q182" s="1">
        <v>1</v>
      </c>
      <c r="R182" s="1">
        <v>2</v>
      </c>
      <c r="S182" s="1">
        <v>3</v>
      </c>
      <c r="T182" s="1">
        <v>4</v>
      </c>
      <c r="U182" s="1">
        <v>5</v>
      </c>
      <c r="V182" s="1">
        <v>6</v>
      </c>
      <c r="W182" s="1">
        <v>7</v>
      </c>
      <c r="X182" s="1">
        <v>8</v>
      </c>
      <c r="Y182" s="1">
        <v>9</v>
      </c>
      <c r="Z182" s="1">
        <v>10</v>
      </c>
      <c r="AA182" s="1">
        <v>11</v>
      </c>
      <c r="AB182" s="1">
        <v>12</v>
      </c>
    </row>
    <row r="183" spans="2:28" x14ac:dyDescent="0.2">
      <c r="B183" s="43" t="s">
        <v>0</v>
      </c>
      <c r="C183" s="44">
        <v>4.1000000000000002E-2</v>
      </c>
      <c r="D183" s="44">
        <v>4.2000000000000003E-2</v>
      </c>
      <c r="E183" s="44">
        <v>4.4999999999999998E-2</v>
      </c>
      <c r="F183" s="44">
        <v>4.2999999999999997E-2</v>
      </c>
      <c r="G183" s="44">
        <v>4.1000000000000002E-2</v>
      </c>
      <c r="H183" s="44">
        <v>4.2000000000000003E-2</v>
      </c>
      <c r="I183" s="44">
        <v>4.1000000000000002E-2</v>
      </c>
      <c r="J183" s="44">
        <v>4.1000000000000002E-2</v>
      </c>
      <c r="K183" s="44">
        <v>5.8999999999999997E-2</v>
      </c>
      <c r="L183" s="44">
        <v>4.2999999999999997E-2</v>
      </c>
      <c r="M183" s="44">
        <v>4.1000000000000002E-2</v>
      </c>
      <c r="N183" s="44">
        <v>4.3999999999999997E-2</v>
      </c>
      <c r="O183" s="18">
        <v>570</v>
      </c>
      <c r="P183" s="1" t="s">
        <v>0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2:28" x14ac:dyDescent="0.2">
      <c r="B184" s="43" t="s">
        <v>1</v>
      </c>
      <c r="C184" s="44">
        <v>4.2000000000000003E-2</v>
      </c>
      <c r="D184" s="45">
        <v>1.373</v>
      </c>
      <c r="E184" s="46">
        <v>0.82499999999999996</v>
      </c>
      <c r="F184" s="44">
        <v>6.5000000000000002E-2</v>
      </c>
      <c r="G184" s="44">
        <v>0.14000000000000001</v>
      </c>
      <c r="H184" s="45">
        <v>1.31</v>
      </c>
      <c r="I184" s="47">
        <v>0.221</v>
      </c>
      <c r="J184" s="47">
        <v>0.18</v>
      </c>
      <c r="K184" s="48">
        <v>0.28000000000000003</v>
      </c>
      <c r="L184" s="49">
        <v>1.212</v>
      </c>
      <c r="M184" s="47">
        <v>0.14599999999999999</v>
      </c>
      <c r="N184" s="44">
        <v>4.1000000000000002E-2</v>
      </c>
      <c r="O184" s="18">
        <v>570</v>
      </c>
      <c r="P184" s="1" t="s">
        <v>1</v>
      </c>
      <c r="Q184" s="2"/>
      <c r="R184" s="3" t="s">
        <v>2</v>
      </c>
      <c r="S184" s="4" t="s">
        <v>3</v>
      </c>
      <c r="T184" s="4" t="s">
        <v>4</v>
      </c>
      <c r="U184" s="4" t="s">
        <v>5</v>
      </c>
      <c r="V184" s="3" t="s">
        <v>2</v>
      </c>
      <c r="W184" s="4" t="s">
        <v>6</v>
      </c>
      <c r="X184" s="4" t="s">
        <v>7</v>
      </c>
      <c r="Y184" s="4" t="s">
        <v>8</v>
      </c>
      <c r="Z184" s="3" t="s">
        <v>2</v>
      </c>
      <c r="AA184" s="4" t="s">
        <v>9</v>
      </c>
      <c r="AB184" s="5"/>
    </row>
    <row r="185" spans="2:28" x14ac:dyDescent="0.2">
      <c r="B185" s="43" t="s">
        <v>10</v>
      </c>
      <c r="C185" s="44">
        <v>4.1000000000000002E-2</v>
      </c>
      <c r="D185" s="44">
        <v>7.4999999999999997E-2</v>
      </c>
      <c r="E185" s="46">
        <v>0.878</v>
      </c>
      <c r="F185" s="50">
        <v>0.40500000000000003</v>
      </c>
      <c r="G185" s="50">
        <v>0.42</v>
      </c>
      <c r="H185" s="44">
        <v>7.4999999999999997E-2</v>
      </c>
      <c r="I185" s="44">
        <v>0.06</v>
      </c>
      <c r="J185" s="48">
        <v>0.26800000000000002</v>
      </c>
      <c r="K185" s="44">
        <v>0.14099999999999999</v>
      </c>
      <c r="L185" s="44">
        <v>5.8999999999999997E-2</v>
      </c>
      <c r="M185" s="50">
        <v>0.4</v>
      </c>
      <c r="N185" s="44">
        <v>4.2000000000000003E-2</v>
      </c>
      <c r="O185" s="18">
        <v>570</v>
      </c>
      <c r="P185" s="1" t="s">
        <v>10</v>
      </c>
      <c r="Q185" s="2"/>
      <c r="R185" s="6" t="s">
        <v>11</v>
      </c>
      <c r="S185" s="4" t="s">
        <v>12</v>
      </c>
      <c r="T185" s="4" t="s">
        <v>13</v>
      </c>
      <c r="U185" s="4" t="s">
        <v>14</v>
      </c>
      <c r="V185" s="6" t="s">
        <v>11</v>
      </c>
      <c r="W185" s="4" t="s">
        <v>15</v>
      </c>
      <c r="X185" s="4" t="s">
        <v>16</v>
      </c>
      <c r="Y185" s="4" t="s">
        <v>17</v>
      </c>
      <c r="Z185" s="6" t="s">
        <v>11</v>
      </c>
      <c r="AA185" s="4" t="s">
        <v>18</v>
      </c>
      <c r="AB185" s="5"/>
    </row>
    <row r="186" spans="2:28" x14ac:dyDescent="0.2">
      <c r="B186" s="43" t="s">
        <v>19</v>
      </c>
      <c r="C186" s="44">
        <v>4.1000000000000002E-2</v>
      </c>
      <c r="D186" s="45">
        <v>1.327</v>
      </c>
      <c r="E186" s="46">
        <v>0.82399999999999995</v>
      </c>
      <c r="F186" s="46">
        <v>0.81599999999999995</v>
      </c>
      <c r="G186" s="51">
        <v>0.47799999999999998</v>
      </c>
      <c r="H186" s="45">
        <v>1.387</v>
      </c>
      <c r="I186" s="51">
        <v>0.48399999999999999</v>
      </c>
      <c r="J186" s="48">
        <v>0.30599999999999999</v>
      </c>
      <c r="K186" s="52">
        <v>0.57199999999999995</v>
      </c>
      <c r="L186" s="45">
        <v>1.3129999999999999</v>
      </c>
      <c r="M186" s="48">
        <v>0.34799999999999998</v>
      </c>
      <c r="N186" s="44">
        <v>4.2000000000000003E-2</v>
      </c>
      <c r="O186" s="18">
        <v>570</v>
      </c>
      <c r="P186" s="1" t="s">
        <v>19</v>
      </c>
      <c r="Q186" s="2"/>
      <c r="R186" s="3" t="s">
        <v>2</v>
      </c>
      <c r="S186" s="4" t="s">
        <v>20</v>
      </c>
      <c r="T186" s="4" t="s">
        <v>21</v>
      </c>
      <c r="U186" s="4" t="s">
        <v>22</v>
      </c>
      <c r="V186" s="3" t="s">
        <v>2</v>
      </c>
      <c r="W186" s="4" t="s">
        <v>23</v>
      </c>
      <c r="X186" s="4" t="s">
        <v>24</v>
      </c>
      <c r="Y186" s="4" t="s">
        <v>25</v>
      </c>
      <c r="Z186" s="3" t="s">
        <v>2</v>
      </c>
      <c r="AA186" s="4" t="s">
        <v>26</v>
      </c>
      <c r="AB186" s="5"/>
    </row>
    <row r="187" spans="2:28" x14ac:dyDescent="0.2">
      <c r="B187" s="43" t="s">
        <v>27</v>
      </c>
      <c r="C187" s="44">
        <v>4.2999999999999997E-2</v>
      </c>
      <c r="D187" s="44">
        <v>6.9000000000000006E-2</v>
      </c>
      <c r="E187" s="51">
        <v>0.55100000000000005</v>
      </c>
      <c r="F187" s="53">
        <v>0.69499999999999995</v>
      </c>
      <c r="G187" s="51">
        <v>0.52300000000000002</v>
      </c>
      <c r="H187" s="44">
        <v>9.9000000000000005E-2</v>
      </c>
      <c r="I187" s="46">
        <v>0.81699999999999995</v>
      </c>
      <c r="J187" s="50">
        <v>0.39</v>
      </c>
      <c r="K187" s="51">
        <v>0.51300000000000001</v>
      </c>
      <c r="L187" s="44">
        <v>6.8000000000000005E-2</v>
      </c>
      <c r="M187" s="48">
        <v>0.251</v>
      </c>
      <c r="N187" s="44">
        <v>4.2000000000000003E-2</v>
      </c>
      <c r="O187" s="18">
        <v>570</v>
      </c>
      <c r="P187" s="1" t="s">
        <v>27</v>
      </c>
      <c r="Q187" s="2"/>
      <c r="R187" s="6" t="s">
        <v>11</v>
      </c>
      <c r="S187" s="4" t="s">
        <v>28</v>
      </c>
      <c r="T187" s="4" t="s">
        <v>29</v>
      </c>
      <c r="U187" s="4" t="s">
        <v>30</v>
      </c>
      <c r="V187" s="6" t="s">
        <v>11</v>
      </c>
      <c r="W187" s="4" t="s">
        <v>31</v>
      </c>
      <c r="X187" s="4" t="s">
        <v>32</v>
      </c>
      <c r="Y187" s="4" t="s">
        <v>33</v>
      </c>
      <c r="Z187" s="6" t="s">
        <v>11</v>
      </c>
      <c r="AA187" s="4" t="s">
        <v>34</v>
      </c>
      <c r="AB187" s="5"/>
    </row>
    <row r="188" spans="2:28" x14ac:dyDescent="0.2">
      <c r="B188" s="43" t="s">
        <v>35</v>
      </c>
      <c r="C188" s="44">
        <v>4.2000000000000003E-2</v>
      </c>
      <c r="D188" s="54">
        <v>1.488</v>
      </c>
      <c r="E188" s="44">
        <v>7.1999999999999995E-2</v>
      </c>
      <c r="F188" s="52">
        <v>0.60799999999999998</v>
      </c>
      <c r="G188" s="44">
        <v>0.1</v>
      </c>
      <c r="H188" s="54">
        <v>1.5129999999999999</v>
      </c>
      <c r="I188" s="51">
        <v>0.48599999999999999</v>
      </c>
      <c r="J188" s="44">
        <v>4.3999999999999997E-2</v>
      </c>
      <c r="K188" s="46">
        <v>0.85699999999999998</v>
      </c>
      <c r="L188" s="45">
        <v>1.3740000000000001</v>
      </c>
      <c r="M188" s="55">
        <v>1.0409999999999999</v>
      </c>
      <c r="N188" s="44">
        <v>4.1000000000000002E-2</v>
      </c>
      <c r="O188" s="18">
        <v>570</v>
      </c>
      <c r="P188" s="1" t="s">
        <v>35</v>
      </c>
      <c r="Q188" s="2"/>
      <c r="R188" s="3" t="s">
        <v>2</v>
      </c>
      <c r="S188" s="4" t="s">
        <v>36</v>
      </c>
      <c r="T188" s="4" t="s">
        <v>37</v>
      </c>
      <c r="U188" s="4" t="s">
        <v>38</v>
      </c>
      <c r="V188" s="3" t="s">
        <v>2</v>
      </c>
      <c r="W188" s="4" t="s">
        <v>39</v>
      </c>
      <c r="X188" s="4" t="s">
        <v>40</v>
      </c>
      <c r="Y188" s="4" t="s">
        <v>41</v>
      </c>
      <c r="Z188" s="3" t="s">
        <v>2</v>
      </c>
      <c r="AA188" s="4" t="s">
        <v>42</v>
      </c>
      <c r="AB188" s="5"/>
    </row>
    <row r="189" spans="2:28" x14ac:dyDescent="0.2">
      <c r="B189" s="43" t="s">
        <v>43</v>
      </c>
      <c r="C189" s="44">
        <v>4.2000000000000003E-2</v>
      </c>
      <c r="D189" s="44">
        <v>6.3E-2</v>
      </c>
      <c r="E189" s="48">
        <v>0.28299999999999997</v>
      </c>
      <c r="F189" s="51">
        <v>0.55800000000000005</v>
      </c>
      <c r="G189" s="44">
        <v>0.129</v>
      </c>
      <c r="H189" s="44">
        <v>8.5000000000000006E-2</v>
      </c>
      <c r="I189" s="52">
        <v>0.61199999999999999</v>
      </c>
      <c r="J189" s="48">
        <v>0.3</v>
      </c>
      <c r="K189" s="50">
        <v>0.40200000000000002</v>
      </c>
      <c r="L189" s="44">
        <v>7.8E-2</v>
      </c>
      <c r="M189" s="56">
        <v>0.94699999999999995</v>
      </c>
      <c r="N189" s="44">
        <v>4.2000000000000003E-2</v>
      </c>
      <c r="O189" s="18">
        <v>570</v>
      </c>
      <c r="P189" s="1" t="s">
        <v>43</v>
      </c>
      <c r="Q189" s="2"/>
      <c r="R189" s="6" t="s">
        <v>11</v>
      </c>
      <c r="S189" s="4" t="s">
        <v>44</v>
      </c>
      <c r="T189" s="4" t="s">
        <v>45</v>
      </c>
      <c r="U189" s="4" t="s">
        <v>46</v>
      </c>
      <c r="V189" s="6" t="s">
        <v>11</v>
      </c>
      <c r="W189" s="4" t="s">
        <v>47</v>
      </c>
      <c r="X189" s="4" t="s">
        <v>48</v>
      </c>
      <c r="Y189" s="4" t="s">
        <v>49</v>
      </c>
      <c r="Z189" s="6" t="s">
        <v>11</v>
      </c>
      <c r="AA189" s="4" t="s">
        <v>50</v>
      </c>
      <c r="AB189" s="5"/>
    </row>
    <row r="190" spans="2:28" x14ac:dyDescent="0.2">
      <c r="B190" s="43" t="s">
        <v>51</v>
      </c>
      <c r="C190" s="44">
        <v>4.2000000000000003E-2</v>
      </c>
      <c r="D190" s="44">
        <v>4.2999999999999997E-2</v>
      </c>
      <c r="E190" s="44">
        <v>4.3999999999999997E-2</v>
      </c>
      <c r="F190" s="44">
        <v>4.4999999999999998E-2</v>
      </c>
      <c r="G190" s="44">
        <v>4.1000000000000002E-2</v>
      </c>
      <c r="H190" s="44">
        <v>4.3999999999999997E-2</v>
      </c>
      <c r="I190" s="44">
        <v>4.1000000000000002E-2</v>
      </c>
      <c r="J190" s="44">
        <v>4.1000000000000002E-2</v>
      </c>
      <c r="K190" s="44">
        <v>4.2000000000000003E-2</v>
      </c>
      <c r="L190" s="44">
        <v>4.2000000000000003E-2</v>
      </c>
      <c r="M190" s="44">
        <v>4.1000000000000002E-2</v>
      </c>
      <c r="N190" s="44">
        <v>4.1000000000000002E-2</v>
      </c>
      <c r="O190" s="18">
        <v>570</v>
      </c>
      <c r="P190" s="1" t="s">
        <v>51</v>
      </c>
      <c r="Q190" s="2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2" spans="2:28" x14ac:dyDescent="0.2">
      <c r="B192" s="57" t="s">
        <v>85</v>
      </c>
      <c r="P192" s="57" t="s">
        <v>86</v>
      </c>
    </row>
    <row r="193" spans="3:38" x14ac:dyDescent="0.2">
      <c r="C193" s="58" t="s">
        <v>87</v>
      </c>
      <c r="D193">
        <f>AVERAGE(D190:N190,N183:N189,D183:M183,C183:C190)</f>
        <v>4.2527777777777775E-2</v>
      </c>
      <c r="AE193" t="s">
        <v>88</v>
      </c>
      <c r="AH193" t="s">
        <v>89</v>
      </c>
    </row>
    <row r="194" spans="3:38" x14ac:dyDescent="0.2">
      <c r="C194" s="58" t="s">
        <v>90</v>
      </c>
      <c r="D194">
        <f>D184</f>
        <v>1.373</v>
      </c>
      <c r="E194">
        <f>D186</f>
        <v>1.327</v>
      </c>
      <c r="F194">
        <f>D188</f>
        <v>1.488</v>
      </c>
      <c r="G194">
        <f>H184</f>
        <v>1.31</v>
      </c>
      <c r="H194">
        <f>H186</f>
        <v>1.387</v>
      </c>
      <c r="I194">
        <f>H188</f>
        <v>1.5129999999999999</v>
      </c>
      <c r="J194">
        <f>L184</f>
        <v>1.212</v>
      </c>
      <c r="K194">
        <f>L186</f>
        <v>1.3129999999999999</v>
      </c>
      <c r="L194">
        <f>L188</f>
        <v>1.3740000000000001</v>
      </c>
      <c r="Q194" s="58" t="s">
        <v>90</v>
      </c>
      <c r="R194">
        <f>D194-$D$193</f>
        <v>1.3304722222222223</v>
      </c>
      <c r="S194">
        <f t="shared" ref="S194:Y194" si="60">E194-$D$193</f>
        <v>1.2844722222222222</v>
      </c>
      <c r="T194">
        <f t="shared" si="60"/>
        <v>1.4454722222222223</v>
      </c>
      <c r="U194">
        <f t="shared" si="60"/>
        <v>1.2674722222222223</v>
      </c>
      <c r="V194">
        <f t="shared" si="60"/>
        <v>1.3444722222222223</v>
      </c>
      <c r="W194">
        <f t="shared" si="60"/>
        <v>1.4704722222222222</v>
      </c>
      <c r="X194">
        <f t="shared" si="60"/>
        <v>1.1694722222222222</v>
      </c>
      <c r="Y194">
        <f t="shared" si="60"/>
        <v>1.2704722222222222</v>
      </c>
      <c r="Z194">
        <f>L194-$D$193</f>
        <v>1.3314722222222224</v>
      </c>
      <c r="AE194" t="s">
        <v>91</v>
      </c>
      <c r="AF194">
        <f>AVERAGE(R194:Z194)</f>
        <v>1.3238055555555557</v>
      </c>
      <c r="AH194" t="s">
        <v>91</v>
      </c>
      <c r="AI194">
        <f>AVERAGE(R196:Z196)</f>
        <v>3.2027777777777787E-2</v>
      </c>
      <c r="AK194" s="59" t="s">
        <v>92</v>
      </c>
      <c r="AL194" s="59">
        <f>1- ((3*(AF195+AI195))/(AF194-AI194))</f>
        <v>0.75746430535763132</v>
      </c>
    </row>
    <row r="195" spans="3:38" x14ac:dyDescent="0.2">
      <c r="C195" s="58"/>
      <c r="G195" s="60"/>
      <c r="Q195" s="58"/>
      <c r="AE195" t="s">
        <v>93</v>
      </c>
      <c r="AF195">
        <f>STDEV(R194:Z194)</f>
        <v>9.2349878180753422E-2</v>
      </c>
      <c r="AH195" t="s">
        <v>93</v>
      </c>
      <c r="AI195">
        <f>STDEV(R196:Z196)</f>
        <v>1.2084195371549472E-2</v>
      </c>
      <c r="AK195" s="59"/>
      <c r="AL195" s="59"/>
    </row>
    <row r="196" spans="3:38" x14ac:dyDescent="0.2">
      <c r="C196" s="58" t="s">
        <v>11</v>
      </c>
      <c r="D196">
        <f>D185</f>
        <v>7.4999999999999997E-2</v>
      </c>
      <c r="E196">
        <f>D187</f>
        <v>6.9000000000000006E-2</v>
      </c>
      <c r="F196">
        <f>D189</f>
        <v>6.3E-2</v>
      </c>
      <c r="G196">
        <f>H185</f>
        <v>7.4999999999999997E-2</v>
      </c>
      <c r="H196">
        <f>H187</f>
        <v>9.9000000000000005E-2</v>
      </c>
      <c r="I196">
        <f>H189</f>
        <v>8.5000000000000006E-2</v>
      </c>
      <c r="J196">
        <f>L185</f>
        <v>5.8999999999999997E-2</v>
      </c>
      <c r="K196">
        <f>L187</f>
        <v>6.8000000000000005E-2</v>
      </c>
      <c r="L196">
        <f>L189</f>
        <v>7.8E-2</v>
      </c>
      <c r="Q196" s="58" t="s">
        <v>11</v>
      </c>
      <c r="R196">
        <f>D196-$D$193</f>
        <v>3.2472222222222222E-2</v>
      </c>
      <c r="S196">
        <f t="shared" ref="S196:Y196" si="61">E196-$D$193</f>
        <v>2.647222222222223E-2</v>
      </c>
      <c r="T196">
        <f t="shared" si="61"/>
        <v>2.0472222222222225E-2</v>
      </c>
      <c r="U196">
        <f t="shared" si="61"/>
        <v>3.2472222222222222E-2</v>
      </c>
      <c r="V196">
        <f t="shared" si="61"/>
        <v>5.6472222222222229E-2</v>
      </c>
      <c r="W196">
        <f t="shared" si="61"/>
        <v>4.2472222222222231E-2</v>
      </c>
      <c r="X196">
        <f t="shared" si="61"/>
        <v>1.6472222222222221E-2</v>
      </c>
      <c r="Y196">
        <f t="shared" si="61"/>
        <v>2.5472222222222229E-2</v>
      </c>
      <c r="Z196">
        <f>L196-$D$193</f>
        <v>3.5472222222222224E-2</v>
      </c>
      <c r="AB196" s="58" t="s">
        <v>94</v>
      </c>
      <c r="AC196" s="58" t="s">
        <v>95</v>
      </c>
      <c r="AD196" s="58"/>
      <c r="AE196" t="s">
        <v>96</v>
      </c>
      <c r="AF196">
        <f>AF195*100/AF194</f>
        <v>6.9760908460606483</v>
      </c>
    </row>
    <row r="197" spans="3:38" x14ac:dyDescent="0.2">
      <c r="C197" s="58"/>
      <c r="D197" s="60"/>
      <c r="Q197" s="58"/>
      <c r="AB197" s="58"/>
      <c r="AC197" s="58"/>
      <c r="AD197" s="58"/>
      <c r="AE197" t="s">
        <v>97</v>
      </c>
      <c r="AF197">
        <f>3*AF195</f>
        <v>0.27704963454226028</v>
      </c>
    </row>
    <row r="198" spans="3:38" x14ac:dyDescent="0.2">
      <c r="C198" s="61" t="str">
        <f>S184</f>
        <v>CMU 1</v>
      </c>
      <c r="D198">
        <f>E184</f>
        <v>0.82499999999999996</v>
      </c>
      <c r="P198" s="60"/>
      <c r="Q198" s="62" t="str">
        <f>C198</f>
        <v>CMU 1</v>
      </c>
      <c r="R198">
        <f>D198-$D$193</f>
        <v>0.78247222222222224</v>
      </c>
      <c r="S198" s="60"/>
      <c r="Z198" s="60"/>
      <c r="AA198" s="62" t="str">
        <f>C198</f>
        <v>CMU 1</v>
      </c>
      <c r="AB198">
        <f>R198*100/$AF$194</f>
        <v>59.107791090500861</v>
      </c>
    </row>
    <row r="199" spans="3:38" x14ac:dyDescent="0.2">
      <c r="C199" s="61" t="str">
        <f>S185</f>
        <v>CMU 2</v>
      </c>
      <c r="D199">
        <f>E185</f>
        <v>0.878</v>
      </c>
      <c r="P199" s="60"/>
      <c r="Q199" s="62" t="str">
        <f t="shared" ref="Q199:Q239" si="62">C199</f>
        <v>CMU 2</v>
      </c>
      <c r="R199">
        <f t="shared" ref="R199:R239" si="63">D199-$D$193</f>
        <v>0.83547222222222217</v>
      </c>
      <c r="S199" s="60"/>
      <c r="Z199" s="60"/>
      <c r="AA199" s="62" t="str">
        <f t="shared" ref="AA199:AA239" si="64">C199</f>
        <v>CMU 2</v>
      </c>
      <c r="AB199">
        <f>R199*100/$AF$194</f>
        <v>63.111400214029409</v>
      </c>
    </row>
    <row r="200" spans="3:38" x14ac:dyDescent="0.2">
      <c r="C200" s="61" t="str">
        <f t="shared" ref="C200:C203" si="65">S186</f>
        <v>CMU 3</v>
      </c>
      <c r="D200">
        <f>E186</f>
        <v>0.82399999999999995</v>
      </c>
      <c r="P200" s="60"/>
      <c r="Q200" s="62" t="str">
        <f t="shared" si="62"/>
        <v>CMU 3</v>
      </c>
      <c r="R200">
        <f t="shared" si="63"/>
        <v>0.78147222222222212</v>
      </c>
      <c r="S200" s="60"/>
      <c r="Z200" s="60"/>
      <c r="AA200" s="62" t="str">
        <f t="shared" si="64"/>
        <v>CMU 3</v>
      </c>
      <c r="AB200">
        <f>R200*100/$AF$194</f>
        <v>59.032251295717302</v>
      </c>
    </row>
    <row r="201" spans="3:38" x14ac:dyDescent="0.2">
      <c r="C201" s="61" t="str">
        <f t="shared" si="65"/>
        <v>CMU 4</v>
      </c>
      <c r="D201">
        <f>E187</f>
        <v>0.55100000000000005</v>
      </c>
      <c r="P201" s="60"/>
      <c r="Q201" s="62" t="str">
        <f>C201</f>
        <v>CMU 4</v>
      </c>
      <c r="R201">
        <f>D201-$D$193</f>
        <v>0.50847222222222221</v>
      </c>
      <c r="S201" s="60"/>
      <c r="Z201" s="60"/>
      <c r="AA201" s="62" t="str">
        <f t="shared" si="64"/>
        <v>CMU 4</v>
      </c>
      <c r="AB201">
        <f t="shared" ref="AB199:AB239" si="66">R201*100/$AF$194</f>
        <v>38.40988731980611</v>
      </c>
    </row>
    <row r="202" spans="3:38" x14ac:dyDescent="0.2">
      <c r="C202" s="61" t="str">
        <f t="shared" si="65"/>
        <v>CMU 5</v>
      </c>
      <c r="D202">
        <f t="shared" ref="D202" si="67">E188</f>
        <v>7.1999999999999995E-2</v>
      </c>
      <c r="P202" s="60"/>
      <c r="Q202" s="62" t="str">
        <f t="shared" si="62"/>
        <v>CMU 5</v>
      </c>
      <c r="R202">
        <f t="shared" si="63"/>
        <v>2.9472222222222219E-2</v>
      </c>
      <c r="S202" s="60"/>
      <c r="Z202" s="60"/>
      <c r="AA202" s="62" t="str">
        <f t="shared" si="64"/>
        <v>CMU 5</v>
      </c>
      <c r="AB202">
        <f t="shared" si="66"/>
        <v>2.2263256184820692</v>
      </c>
    </row>
    <row r="203" spans="3:38" x14ac:dyDescent="0.2">
      <c r="C203" s="61" t="str">
        <f t="shared" si="65"/>
        <v>CMU 6</v>
      </c>
      <c r="D203">
        <f>E189</f>
        <v>0.28299999999999997</v>
      </c>
      <c r="P203" s="60"/>
      <c r="Q203" s="62" t="str">
        <f t="shared" si="62"/>
        <v>CMU 6</v>
      </c>
      <c r="R203">
        <f t="shared" si="63"/>
        <v>0.2404722222222222</v>
      </c>
      <c r="S203" s="60"/>
      <c r="Z203" s="60"/>
      <c r="AA203" s="62" t="str">
        <f t="shared" si="64"/>
        <v>CMU 6</v>
      </c>
      <c r="AB203">
        <f t="shared" si="66"/>
        <v>18.165222317812699</v>
      </c>
    </row>
    <row r="204" spans="3:38" x14ac:dyDescent="0.2">
      <c r="C204" s="61" t="str">
        <f>T184</f>
        <v>CMU 7</v>
      </c>
      <c r="D204">
        <f>F184</f>
        <v>6.5000000000000002E-2</v>
      </c>
      <c r="P204" s="60"/>
      <c r="Q204" s="62" t="str">
        <f t="shared" si="62"/>
        <v>CMU 7</v>
      </c>
      <c r="R204">
        <f t="shared" si="63"/>
        <v>2.2472222222222227E-2</v>
      </c>
      <c r="S204" s="60"/>
      <c r="Z204" s="60"/>
      <c r="AA204" s="62" t="str">
        <f t="shared" si="64"/>
        <v>CMU 7</v>
      </c>
      <c r="AB204">
        <f t="shared" si="66"/>
        <v>1.6975470549971674</v>
      </c>
    </row>
    <row r="205" spans="3:38" x14ac:dyDescent="0.2">
      <c r="C205" s="61" t="str">
        <f t="shared" ref="C205:C208" si="68">T185</f>
        <v>CMU 8</v>
      </c>
      <c r="D205">
        <f>F185</f>
        <v>0.40500000000000003</v>
      </c>
      <c r="P205" s="60"/>
      <c r="Q205" s="62" t="str">
        <f t="shared" si="62"/>
        <v>CMU 8</v>
      </c>
      <c r="R205">
        <f t="shared" si="63"/>
        <v>0.36247222222222225</v>
      </c>
      <c r="S205" s="60"/>
      <c r="Z205" s="60"/>
      <c r="AA205" s="62" t="str">
        <f t="shared" si="64"/>
        <v>CMU 8</v>
      </c>
      <c r="AB205">
        <f t="shared" si="66"/>
        <v>27.381077281406721</v>
      </c>
    </row>
    <row r="206" spans="3:38" x14ac:dyDescent="0.2">
      <c r="C206" s="61" t="str">
        <f t="shared" si="68"/>
        <v>CMU 9</v>
      </c>
      <c r="D206">
        <f t="shared" ref="D206:D208" si="69">F186</f>
        <v>0.81599999999999995</v>
      </c>
      <c r="P206" s="60"/>
      <c r="Q206" s="62" t="str">
        <f t="shared" si="62"/>
        <v>CMU 9</v>
      </c>
      <c r="R206">
        <f t="shared" si="63"/>
        <v>0.77347222222222212</v>
      </c>
      <c r="S206" s="60"/>
      <c r="Z206" s="60"/>
      <c r="AA206" s="62" t="str">
        <f t="shared" si="64"/>
        <v>CMU 9</v>
      </c>
      <c r="AB206">
        <f t="shared" si="66"/>
        <v>58.427932937448844</v>
      </c>
    </row>
    <row r="207" spans="3:38" x14ac:dyDescent="0.2">
      <c r="C207" s="61" t="str">
        <f t="shared" si="68"/>
        <v>CMU 10</v>
      </c>
      <c r="D207">
        <f t="shared" si="69"/>
        <v>0.69499999999999995</v>
      </c>
      <c r="P207" s="60"/>
      <c r="Q207" s="62" t="str">
        <f t="shared" si="62"/>
        <v>CMU 10</v>
      </c>
      <c r="R207">
        <f t="shared" si="63"/>
        <v>0.65247222222222212</v>
      </c>
      <c r="S207" s="60"/>
      <c r="Z207" s="60"/>
      <c r="AA207" s="62" t="str">
        <f t="shared" si="64"/>
        <v>CMU 10</v>
      </c>
      <c r="AB207">
        <f t="shared" si="66"/>
        <v>49.287617768638377</v>
      </c>
    </row>
    <row r="208" spans="3:38" x14ac:dyDescent="0.2">
      <c r="C208" s="61" t="str">
        <f t="shared" si="68"/>
        <v>CMU 11</v>
      </c>
      <c r="D208">
        <f t="shared" si="69"/>
        <v>0.60799999999999998</v>
      </c>
      <c r="P208" s="60"/>
      <c r="Q208" s="62" t="str">
        <f t="shared" si="62"/>
        <v>CMU 11</v>
      </c>
      <c r="R208">
        <f t="shared" si="63"/>
        <v>0.56547222222222215</v>
      </c>
      <c r="S208" s="60"/>
      <c r="Z208" s="60"/>
      <c r="AA208" s="62" t="str">
        <f t="shared" si="64"/>
        <v>CMU 11</v>
      </c>
      <c r="AB208">
        <f t="shared" si="66"/>
        <v>42.715655622468887</v>
      </c>
    </row>
    <row r="209" spans="3:28" x14ac:dyDescent="0.2">
      <c r="C209" s="61" t="str">
        <f>T189</f>
        <v>CMU 12</v>
      </c>
      <c r="D209">
        <f>F189</f>
        <v>0.55800000000000005</v>
      </c>
      <c r="P209" s="60"/>
      <c r="Q209" s="62" t="str">
        <f t="shared" si="62"/>
        <v>CMU 12</v>
      </c>
      <c r="R209">
        <f t="shared" si="63"/>
        <v>0.51547222222222233</v>
      </c>
      <c r="S209" s="60"/>
      <c r="Z209" s="60"/>
      <c r="AA209" s="62" t="str">
        <f t="shared" si="64"/>
        <v>CMU 12</v>
      </c>
      <c r="AB209">
        <f t="shared" si="66"/>
        <v>38.938665883291023</v>
      </c>
    </row>
    <row r="210" spans="3:28" x14ac:dyDescent="0.2">
      <c r="C210" s="61" t="str">
        <f t="shared" ref="C210:C215" si="70">U184</f>
        <v>CMU 13</v>
      </c>
      <c r="D210">
        <f>G184</f>
        <v>0.14000000000000001</v>
      </c>
      <c r="P210" s="60"/>
      <c r="Q210" s="62" t="str">
        <f t="shared" si="62"/>
        <v>CMU 13</v>
      </c>
      <c r="R210">
        <f t="shared" si="63"/>
        <v>9.7472222222222238E-2</v>
      </c>
      <c r="S210" s="60"/>
      <c r="Z210" s="60"/>
      <c r="AA210" s="62" t="str">
        <f t="shared" si="64"/>
        <v>CMU 13</v>
      </c>
      <c r="AB210">
        <f t="shared" si="66"/>
        <v>7.3630316637639801</v>
      </c>
    </row>
    <row r="211" spans="3:28" x14ac:dyDescent="0.2">
      <c r="C211" s="61" t="str">
        <f t="shared" si="70"/>
        <v>CMU 14</v>
      </c>
      <c r="D211">
        <f>G185</f>
        <v>0.42</v>
      </c>
      <c r="P211" s="60"/>
      <c r="Q211" s="62" t="str">
        <f t="shared" si="62"/>
        <v>CMU 14</v>
      </c>
      <c r="R211">
        <f t="shared" si="63"/>
        <v>0.37747222222222221</v>
      </c>
      <c r="S211" s="60"/>
      <c r="Z211" s="60"/>
      <c r="AA211" s="62" t="str">
        <f t="shared" si="64"/>
        <v>CMU 14</v>
      </c>
      <c r="AB211">
        <f t="shared" si="66"/>
        <v>28.514174203160078</v>
      </c>
    </row>
    <row r="212" spans="3:28" x14ac:dyDescent="0.2">
      <c r="C212" s="61" t="str">
        <f t="shared" si="70"/>
        <v>CMU 15</v>
      </c>
      <c r="D212">
        <f t="shared" ref="D212:D214" si="71">G186</f>
        <v>0.47799999999999998</v>
      </c>
      <c r="P212" s="60"/>
      <c r="Q212" s="62" t="str">
        <f t="shared" si="62"/>
        <v>CMU 15</v>
      </c>
      <c r="R212">
        <f t="shared" si="63"/>
        <v>0.43547222222222221</v>
      </c>
      <c r="S212" s="60"/>
      <c r="Z212" s="60"/>
      <c r="AA212" s="62" t="str">
        <f t="shared" si="64"/>
        <v>CMU 15</v>
      </c>
      <c r="AB212">
        <f t="shared" si="66"/>
        <v>32.89548230060641</v>
      </c>
    </row>
    <row r="213" spans="3:28" x14ac:dyDescent="0.2">
      <c r="C213" s="61" t="str">
        <f t="shared" si="70"/>
        <v>CMU 16</v>
      </c>
      <c r="D213">
        <f t="shared" si="71"/>
        <v>0.52300000000000002</v>
      </c>
      <c r="P213" s="60"/>
      <c r="Q213" s="62" t="str">
        <f t="shared" si="62"/>
        <v>CMU 16</v>
      </c>
      <c r="R213">
        <f t="shared" si="63"/>
        <v>0.48047222222222224</v>
      </c>
      <c r="S213" s="60"/>
      <c r="Z213" s="60"/>
      <c r="AA213" s="62" t="str">
        <f t="shared" si="64"/>
        <v>CMU 16</v>
      </c>
      <c r="AB213">
        <f t="shared" si="66"/>
        <v>36.294773065866501</v>
      </c>
    </row>
    <row r="214" spans="3:28" x14ac:dyDescent="0.2">
      <c r="C214" s="61" t="str">
        <f t="shared" si="70"/>
        <v>CMU 17</v>
      </c>
      <c r="D214">
        <f t="shared" si="71"/>
        <v>0.1</v>
      </c>
      <c r="P214" s="60"/>
      <c r="Q214" s="62" t="str">
        <f t="shared" si="62"/>
        <v>CMU 17</v>
      </c>
      <c r="R214">
        <f t="shared" si="63"/>
        <v>5.747222222222223E-2</v>
      </c>
      <c r="S214" s="60"/>
      <c r="Z214" s="60"/>
      <c r="AA214" s="62" t="str">
        <f t="shared" si="64"/>
        <v>CMU 17</v>
      </c>
      <c r="AB214">
        <f t="shared" si="66"/>
        <v>4.3414398724216801</v>
      </c>
    </row>
    <row r="215" spans="3:28" x14ac:dyDescent="0.2">
      <c r="C215" s="61" t="str">
        <f t="shared" si="70"/>
        <v>CMU 18</v>
      </c>
      <c r="D215">
        <f>G189</f>
        <v>0.129</v>
      </c>
      <c r="P215" s="60"/>
      <c r="Q215" s="62" t="str">
        <f t="shared" si="62"/>
        <v>CMU 18</v>
      </c>
      <c r="R215">
        <f t="shared" si="63"/>
        <v>8.6472222222222228E-2</v>
      </c>
      <c r="S215" s="60"/>
      <c r="Z215" s="60"/>
      <c r="AA215" s="62" t="str">
        <f t="shared" si="64"/>
        <v>CMU 18</v>
      </c>
      <c r="AB215">
        <f t="shared" si="66"/>
        <v>6.5320939211448472</v>
      </c>
    </row>
    <row r="216" spans="3:28" x14ac:dyDescent="0.2">
      <c r="C216" s="61" t="str">
        <f>W184</f>
        <v>CMU 19</v>
      </c>
      <c r="D216">
        <f>I184</f>
        <v>0.221</v>
      </c>
      <c r="P216" s="60"/>
      <c r="Q216" s="62" t="str">
        <f t="shared" si="62"/>
        <v>CMU 19</v>
      </c>
      <c r="R216">
        <f t="shared" si="63"/>
        <v>0.17847222222222223</v>
      </c>
      <c r="S216" s="60"/>
      <c r="Z216" s="60"/>
      <c r="AA216" s="62" t="str">
        <f t="shared" si="64"/>
        <v>CMU 19</v>
      </c>
      <c r="AB216">
        <f t="shared" si="66"/>
        <v>13.481755041232136</v>
      </c>
    </row>
    <row r="217" spans="3:28" x14ac:dyDescent="0.2">
      <c r="C217" s="61" t="str">
        <f t="shared" ref="C217:C220" si="72">W185</f>
        <v>CMU 20</v>
      </c>
      <c r="D217">
        <f>I185</f>
        <v>0.06</v>
      </c>
      <c r="P217" s="60"/>
      <c r="Q217" s="62" t="str">
        <f t="shared" si="62"/>
        <v>CMU 20</v>
      </c>
      <c r="R217">
        <f t="shared" si="63"/>
        <v>1.7472222222222222E-2</v>
      </c>
      <c r="S217" s="60"/>
      <c r="Z217" s="60"/>
      <c r="AA217" s="62" t="str">
        <f t="shared" si="64"/>
        <v>CMU 20</v>
      </c>
      <c r="AB217">
        <f t="shared" si="66"/>
        <v>1.3198480810793796</v>
      </c>
    </row>
    <row r="218" spans="3:28" x14ac:dyDescent="0.2">
      <c r="C218" s="61" t="str">
        <f t="shared" si="72"/>
        <v>CMU 21</v>
      </c>
      <c r="D218">
        <f t="shared" ref="D218:D220" si="73">I186</f>
        <v>0.48399999999999999</v>
      </c>
      <c r="P218" s="60"/>
      <c r="Q218" s="62" t="str">
        <f t="shared" si="62"/>
        <v>CMU 21</v>
      </c>
      <c r="R218">
        <f>D218-$D$193</f>
        <v>0.44147222222222221</v>
      </c>
      <c r="S218" s="60"/>
      <c r="Z218" s="60"/>
      <c r="AA218" s="62" t="str">
        <f t="shared" si="64"/>
        <v>CMU 21</v>
      </c>
      <c r="AB218">
        <f t="shared" si="66"/>
        <v>33.348721069307757</v>
      </c>
    </row>
    <row r="219" spans="3:28" x14ac:dyDescent="0.2">
      <c r="C219" s="61" t="str">
        <f t="shared" si="72"/>
        <v>CMU 22</v>
      </c>
      <c r="D219">
        <f t="shared" si="73"/>
        <v>0.81699999999999995</v>
      </c>
      <c r="P219" s="60"/>
      <c r="Q219" s="62" t="str">
        <f t="shared" si="62"/>
        <v>CMU 22</v>
      </c>
      <c r="R219">
        <f t="shared" si="63"/>
        <v>0.77447222222222223</v>
      </c>
      <c r="S219" s="60"/>
      <c r="Z219" s="60"/>
      <c r="AA219" s="62" t="str">
        <f t="shared" si="64"/>
        <v>CMU 22</v>
      </c>
      <c r="AB219">
        <f t="shared" si="66"/>
        <v>58.503472732232403</v>
      </c>
    </row>
    <row r="220" spans="3:28" x14ac:dyDescent="0.2">
      <c r="C220" s="61" t="str">
        <f t="shared" si="72"/>
        <v>CMU 23</v>
      </c>
      <c r="D220">
        <f t="shared" si="73"/>
        <v>0.48599999999999999</v>
      </c>
      <c r="P220" s="60"/>
      <c r="Q220" s="62" t="str">
        <f t="shared" si="62"/>
        <v>CMU 23</v>
      </c>
      <c r="R220">
        <f t="shared" si="63"/>
        <v>0.44347222222222221</v>
      </c>
      <c r="S220" s="60"/>
      <c r="Z220" s="60"/>
      <c r="AA220" s="62" t="str">
        <f t="shared" si="64"/>
        <v>CMU 23</v>
      </c>
      <c r="AB220">
        <f t="shared" si="66"/>
        <v>33.499800658874875</v>
      </c>
    </row>
    <row r="221" spans="3:28" x14ac:dyDescent="0.2">
      <c r="C221" s="61" t="str">
        <f>W189</f>
        <v>CMU 24</v>
      </c>
      <c r="D221">
        <f>I189</f>
        <v>0.61199999999999999</v>
      </c>
      <c r="P221" s="60"/>
      <c r="Q221" s="62" t="str">
        <f t="shared" si="62"/>
        <v>CMU 24</v>
      </c>
      <c r="R221">
        <f t="shared" si="63"/>
        <v>0.56947222222222216</v>
      </c>
      <c r="S221" s="60"/>
      <c r="Z221" s="60"/>
      <c r="AA221" s="62" t="str">
        <f t="shared" si="64"/>
        <v>CMU 24</v>
      </c>
      <c r="AB221">
        <f t="shared" si="66"/>
        <v>43.017814801603116</v>
      </c>
    </row>
    <row r="222" spans="3:28" x14ac:dyDescent="0.2">
      <c r="C222" s="61" t="str">
        <f t="shared" ref="C222:C227" si="74">X184</f>
        <v>CMU 25</v>
      </c>
      <c r="D222">
        <f>J184</f>
        <v>0.18</v>
      </c>
      <c r="P222" s="60"/>
      <c r="Q222" s="62" t="str">
        <f t="shared" si="62"/>
        <v>CMU 25</v>
      </c>
      <c r="R222">
        <f t="shared" si="63"/>
        <v>0.13747222222222222</v>
      </c>
      <c r="S222" s="60"/>
      <c r="Z222" s="60"/>
      <c r="AA222" s="62" t="str">
        <f t="shared" si="64"/>
        <v>CMU 25</v>
      </c>
      <c r="AB222">
        <f t="shared" si="66"/>
        <v>10.384623455106279</v>
      </c>
    </row>
    <row r="223" spans="3:28" x14ac:dyDescent="0.2">
      <c r="C223" s="61" t="str">
        <f t="shared" si="74"/>
        <v>CMU 26</v>
      </c>
      <c r="D223">
        <f>J185</f>
        <v>0.26800000000000002</v>
      </c>
      <c r="P223" s="60"/>
      <c r="Q223" s="62" t="str">
        <f t="shared" si="62"/>
        <v>CMU 26</v>
      </c>
      <c r="R223">
        <f t="shared" si="63"/>
        <v>0.22547222222222224</v>
      </c>
      <c r="S223" s="60"/>
      <c r="Z223" s="60"/>
      <c r="AA223" s="62" t="str">
        <f t="shared" si="64"/>
        <v>CMU 26</v>
      </c>
      <c r="AB223">
        <f t="shared" si="66"/>
        <v>17.032125396059342</v>
      </c>
    </row>
    <row r="224" spans="3:28" x14ac:dyDescent="0.2">
      <c r="C224" s="61" t="str">
        <f t="shared" si="74"/>
        <v>CMU 27</v>
      </c>
      <c r="D224">
        <f t="shared" ref="D224:D226" si="75">J186</f>
        <v>0.30599999999999999</v>
      </c>
      <c r="P224" s="60"/>
      <c r="Q224" s="62" t="str">
        <f t="shared" si="62"/>
        <v>CMU 27</v>
      </c>
      <c r="R224">
        <f t="shared" si="63"/>
        <v>0.26347222222222222</v>
      </c>
      <c r="S224" s="60"/>
      <c r="Z224" s="60"/>
      <c r="AA224" s="62" t="str">
        <f t="shared" si="64"/>
        <v>CMU 27</v>
      </c>
      <c r="AB224">
        <f t="shared" si="66"/>
        <v>19.902637597834524</v>
      </c>
    </row>
    <row r="225" spans="3:28" x14ac:dyDescent="0.2">
      <c r="C225" s="61" t="str">
        <f t="shared" si="74"/>
        <v>CMU 28</v>
      </c>
      <c r="D225">
        <f t="shared" si="75"/>
        <v>0.39</v>
      </c>
      <c r="P225" s="60"/>
      <c r="Q225" s="62" t="str">
        <f t="shared" si="62"/>
        <v>CMU 28</v>
      </c>
      <c r="R225">
        <f t="shared" si="63"/>
        <v>0.34747222222222224</v>
      </c>
      <c r="S225" s="60"/>
      <c r="Z225" s="60"/>
      <c r="AA225" s="62" t="str">
        <f t="shared" si="64"/>
        <v>CMU 28</v>
      </c>
      <c r="AB225">
        <f t="shared" si="66"/>
        <v>26.247980359653358</v>
      </c>
    </row>
    <row r="226" spans="3:28" x14ac:dyDescent="0.2">
      <c r="C226" s="61" t="str">
        <f t="shared" si="74"/>
        <v>CMU 29</v>
      </c>
      <c r="D226">
        <f t="shared" si="75"/>
        <v>4.3999999999999997E-2</v>
      </c>
      <c r="P226" s="60"/>
      <c r="Q226" s="62" t="str">
        <f t="shared" si="62"/>
        <v>CMU 29</v>
      </c>
      <c r="R226">
        <f t="shared" si="63"/>
        <v>1.472222222222222E-3</v>
      </c>
      <c r="S226" s="60"/>
      <c r="Z226" s="60"/>
      <c r="AA226" s="62" t="str">
        <f t="shared" si="64"/>
        <v>CMU 29</v>
      </c>
      <c r="AB226">
        <f t="shared" si="66"/>
        <v>0.11121136454245963</v>
      </c>
    </row>
    <row r="227" spans="3:28" x14ac:dyDescent="0.2">
      <c r="C227" s="61" t="str">
        <f t="shared" si="74"/>
        <v>CMU 30</v>
      </c>
      <c r="D227">
        <f>J189</f>
        <v>0.3</v>
      </c>
      <c r="P227" s="60"/>
      <c r="Q227" s="62" t="str">
        <f t="shared" si="62"/>
        <v>CMU 30</v>
      </c>
      <c r="R227">
        <f t="shared" si="63"/>
        <v>0.25747222222222221</v>
      </c>
      <c r="S227" s="60"/>
      <c r="Z227" s="60"/>
      <c r="AA227" s="62" t="str">
        <f t="shared" si="64"/>
        <v>CMU 30</v>
      </c>
      <c r="AB227">
        <f t="shared" si="66"/>
        <v>19.449398829133177</v>
      </c>
    </row>
    <row r="228" spans="3:28" x14ac:dyDescent="0.2">
      <c r="C228" s="61" t="str">
        <f t="shared" ref="C228:C233" si="76">Y184</f>
        <v>CMU 31</v>
      </c>
      <c r="D228">
        <f>K184</f>
        <v>0.28000000000000003</v>
      </c>
      <c r="P228" s="60"/>
      <c r="Q228" s="62" t="str">
        <f t="shared" si="62"/>
        <v>CMU 31</v>
      </c>
      <c r="R228">
        <f t="shared" si="63"/>
        <v>0.23747222222222225</v>
      </c>
      <c r="S228" s="60"/>
      <c r="Z228" s="60"/>
      <c r="AA228" s="62" t="str">
        <f t="shared" si="64"/>
        <v>CMU 31</v>
      </c>
      <c r="AB228">
        <f t="shared" si="66"/>
        <v>17.938602933462029</v>
      </c>
    </row>
    <row r="229" spans="3:28" x14ac:dyDescent="0.2">
      <c r="C229" s="61" t="str">
        <f t="shared" si="76"/>
        <v>CMU 32</v>
      </c>
      <c r="D229">
        <f>K185</f>
        <v>0.14099999999999999</v>
      </c>
      <c r="P229" s="60"/>
      <c r="Q229" s="62" t="str">
        <f t="shared" si="62"/>
        <v>CMU 32</v>
      </c>
      <c r="R229">
        <f t="shared" si="63"/>
        <v>9.8472222222222211E-2</v>
      </c>
      <c r="S229" s="60"/>
      <c r="Z229" s="60"/>
      <c r="AA229" s="62" t="str">
        <f t="shared" si="64"/>
        <v>CMU 32</v>
      </c>
      <c r="AB229">
        <f t="shared" si="66"/>
        <v>7.4385714585475364</v>
      </c>
    </row>
    <row r="230" spans="3:28" x14ac:dyDescent="0.2">
      <c r="C230" s="61" t="str">
        <f t="shared" si="76"/>
        <v>CMU 33</v>
      </c>
      <c r="D230">
        <f t="shared" ref="D230:D232" si="77">K186</f>
        <v>0.57199999999999995</v>
      </c>
      <c r="P230" s="60"/>
      <c r="Q230" s="62" t="str">
        <f t="shared" si="62"/>
        <v>CMU 33</v>
      </c>
      <c r="R230">
        <f t="shared" si="63"/>
        <v>0.52947222222222212</v>
      </c>
      <c r="S230" s="60"/>
      <c r="Z230" s="60"/>
      <c r="AA230" s="62" t="str">
        <f t="shared" si="64"/>
        <v>CMU 33</v>
      </c>
      <c r="AB230">
        <f t="shared" si="66"/>
        <v>39.996223010260806</v>
      </c>
    </row>
    <row r="231" spans="3:28" x14ac:dyDescent="0.2">
      <c r="C231" s="61" t="str">
        <f t="shared" si="76"/>
        <v>CMU 34</v>
      </c>
      <c r="D231">
        <f t="shared" si="77"/>
        <v>0.51300000000000001</v>
      </c>
      <c r="P231" s="60"/>
      <c r="Q231" s="62" t="str">
        <f t="shared" si="62"/>
        <v>CMU 34</v>
      </c>
      <c r="R231">
        <f t="shared" si="63"/>
        <v>0.47047222222222224</v>
      </c>
      <c r="S231" s="60"/>
      <c r="Z231" s="60"/>
      <c r="AA231" s="62" t="str">
        <f t="shared" si="64"/>
        <v>CMU 34</v>
      </c>
      <c r="AB231">
        <f t="shared" si="66"/>
        <v>35.539375118030925</v>
      </c>
    </row>
    <row r="232" spans="3:28" x14ac:dyDescent="0.2">
      <c r="C232" s="61" t="str">
        <f t="shared" si="76"/>
        <v>CMU 35</v>
      </c>
      <c r="D232">
        <f t="shared" si="77"/>
        <v>0.85699999999999998</v>
      </c>
      <c r="P232" s="60"/>
      <c r="Q232" s="62" t="str">
        <f t="shared" si="62"/>
        <v>CMU 35</v>
      </c>
      <c r="R232">
        <f t="shared" si="63"/>
        <v>0.81447222222222226</v>
      </c>
      <c r="S232" s="60"/>
      <c r="Z232" s="60"/>
      <c r="AA232" s="62" t="str">
        <f t="shared" si="64"/>
        <v>CMU 35</v>
      </c>
      <c r="AB232">
        <f t="shared" si="66"/>
        <v>61.525064523574706</v>
      </c>
    </row>
    <row r="233" spans="3:28" x14ac:dyDescent="0.2">
      <c r="C233" s="61" t="str">
        <f t="shared" si="76"/>
        <v>CMU 36</v>
      </c>
      <c r="D233">
        <f>K189</f>
        <v>0.40200000000000002</v>
      </c>
      <c r="P233" s="60"/>
      <c r="Q233" s="62" t="str">
        <f t="shared" si="62"/>
        <v>CMU 36</v>
      </c>
      <c r="R233">
        <f t="shared" si="63"/>
        <v>0.35947222222222225</v>
      </c>
      <c r="S233" s="60"/>
      <c r="Z233" s="60"/>
      <c r="AA233" s="62" t="str">
        <f t="shared" si="64"/>
        <v>CMU 36</v>
      </c>
      <c r="AB233">
        <f t="shared" si="66"/>
        <v>27.154457897056044</v>
      </c>
    </row>
    <row r="234" spans="3:28" x14ac:dyDescent="0.2">
      <c r="C234" s="61" t="str">
        <f>AA184</f>
        <v>CMU 37</v>
      </c>
      <c r="D234">
        <f>M184</f>
        <v>0.14599999999999999</v>
      </c>
      <c r="P234" s="60"/>
      <c r="Q234" s="62" t="str">
        <f t="shared" si="62"/>
        <v>CMU 37</v>
      </c>
      <c r="R234">
        <f t="shared" si="63"/>
        <v>0.10347222222222222</v>
      </c>
      <c r="S234" s="60"/>
      <c r="Z234" s="60"/>
      <c r="AA234" s="62" t="str">
        <f t="shared" si="64"/>
        <v>CMU 37</v>
      </c>
      <c r="AB234">
        <f t="shared" si="66"/>
        <v>7.8162704324653234</v>
      </c>
    </row>
    <row r="235" spans="3:28" x14ac:dyDescent="0.2">
      <c r="C235" s="61" t="str">
        <f t="shared" ref="C235:C239" si="78">AA185</f>
        <v>CMU 38</v>
      </c>
      <c r="D235">
        <f>M185</f>
        <v>0.4</v>
      </c>
      <c r="P235" s="60"/>
      <c r="Q235" s="62" t="str">
        <f t="shared" si="62"/>
        <v>CMU 38</v>
      </c>
      <c r="R235">
        <f t="shared" si="63"/>
        <v>0.35747222222222225</v>
      </c>
      <c r="Z235" s="60"/>
      <c r="AA235" s="62" t="str">
        <f t="shared" si="64"/>
        <v>CMU 38</v>
      </c>
      <c r="AB235">
        <f t="shared" si="66"/>
        <v>27.003378307488934</v>
      </c>
    </row>
    <row r="236" spans="3:28" x14ac:dyDescent="0.2">
      <c r="C236" s="61" t="str">
        <f t="shared" si="78"/>
        <v>CMU 39</v>
      </c>
      <c r="D236">
        <f t="shared" ref="D236:D238" si="79">M186</f>
        <v>0.34799999999999998</v>
      </c>
      <c r="P236" s="60"/>
      <c r="Q236" s="62" t="str">
        <f t="shared" si="62"/>
        <v>CMU 39</v>
      </c>
      <c r="R236">
        <f t="shared" si="63"/>
        <v>0.3054722222222222</v>
      </c>
      <c r="S236" s="58"/>
      <c r="Z236" s="60"/>
      <c r="AA236" s="62" t="str">
        <f t="shared" si="64"/>
        <v>CMU 39</v>
      </c>
      <c r="AB236">
        <f t="shared" si="66"/>
        <v>23.075308978743937</v>
      </c>
    </row>
    <row r="237" spans="3:28" x14ac:dyDescent="0.2">
      <c r="C237" s="61" t="str">
        <f t="shared" si="78"/>
        <v>CMU 40</v>
      </c>
      <c r="D237">
        <f t="shared" si="79"/>
        <v>0.251</v>
      </c>
      <c r="P237" s="60"/>
      <c r="Q237" s="62" t="str">
        <f t="shared" si="62"/>
        <v>CMU 40</v>
      </c>
      <c r="R237">
        <f t="shared" si="63"/>
        <v>0.20847222222222223</v>
      </c>
      <c r="Z237" s="60"/>
      <c r="AA237" s="62" t="str">
        <f t="shared" si="64"/>
        <v>CMU 40</v>
      </c>
      <c r="AB237">
        <f t="shared" si="66"/>
        <v>15.747948884738861</v>
      </c>
    </row>
    <row r="238" spans="3:28" x14ac:dyDescent="0.2">
      <c r="C238" s="61" t="str">
        <f t="shared" si="78"/>
        <v>CMU 41</v>
      </c>
      <c r="D238">
        <f t="shared" si="79"/>
        <v>1.0409999999999999</v>
      </c>
      <c r="P238" s="60"/>
      <c r="Q238" s="62" t="str">
        <f t="shared" si="62"/>
        <v>CMU 41</v>
      </c>
      <c r="R238">
        <f t="shared" si="63"/>
        <v>0.99847222222222221</v>
      </c>
      <c r="Z238" s="60"/>
      <c r="AA238" s="62" t="str">
        <f t="shared" si="64"/>
        <v>CMU 41</v>
      </c>
      <c r="AB238">
        <f t="shared" si="66"/>
        <v>75.424386763749283</v>
      </c>
    </row>
    <row r="239" spans="3:28" x14ac:dyDescent="0.2">
      <c r="C239" s="61" t="str">
        <f t="shared" si="78"/>
        <v>CMU 42</v>
      </c>
      <c r="D239">
        <f>M189</f>
        <v>0.94699999999999995</v>
      </c>
      <c r="P239" s="60"/>
      <c r="Q239" s="62" t="str">
        <f t="shared" si="62"/>
        <v>CMU 42</v>
      </c>
      <c r="R239">
        <f t="shared" si="63"/>
        <v>0.90447222222222212</v>
      </c>
      <c r="Z239" s="60"/>
      <c r="AA239" s="62" t="str">
        <f t="shared" si="64"/>
        <v>CMU 42</v>
      </c>
      <c r="AB239">
        <f t="shared" si="66"/>
        <v>68.323646054094866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7229-0CA4-274B-91AF-4299794E442D}">
  <dimension ref="A1:AB84"/>
  <sheetViews>
    <sheetView zoomScaleNormal="100" workbookViewId="0">
      <selection activeCell="Z4" sqref="Z4:Z50"/>
    </sheetView>
  </sheetViews>
  <sheetFormatPr baseColWidth="10" defaultRowHeight="16" x14ac:dyDescent="0.2"/>
  <cols>
    <col min="1" max="1" width="14.33203125" customWidth="1"/>
    <col min="27" max="27" width="15.1640625" bestFit="1" customWidth="1"/>
    <col min="28" max="28" width="17.5" bestFit="1" customWidth="1"/>
  </cols>
  <sheetData>
    <row r="1" spans="1:28" x14ac:dyDescent="0.2">
      <c r="A1" s="79" t="s">
        <v>108</v>
      </c>
      <c r="B1" s="79">
        <v>13.682267347160387</v>
      </c>
      <c r="C1" s="79">
        <v>14.079098937667991</v>
      </c>
      <c r="D1" s="79">
        <v>17.883035282745286</v>
      </c>
      <c r="E1" s="79">
        <v>13.668024707583125</v>
      </c>
      <c r="P1" s="150" t="s">
        <v>118</v>
      </c>
      <c r="Q1" s="150"/>
      <c r="R1" s="150"/>
      <c r="S1" s="150"/>
      <c r="T1" s="150"/>
      <c r="U1" s="150"/>
      <c r="V1" s="150"/>
    </row>
    <row r="2" spans="1:28" ht="17" thickBot="1" x14ac:dyDescent="0.25">
      <c r="A2" s="169" t="s">
        <v>109</v>
      </c>
      <c r="B2" s="170"/>
      <c r="C2" s="170"/>
      <c r="D2" s="170"/>
      <c r="E2" s="170"/>
      <c r="F2" s="170"/>
      <c r="G2" s="170"/>
      <c r="H2" s="170"/>
      <c r="J2" s="142" t="s">
        <v>136</v>
      </c>
      <c r="K2" s="143"/>
      <c r="L2" s="143"/>
      <c r="M2" s="143"/>
      <c r="N2" s="143"/>
      <c r="O2" s="143"/>
      <c r="R2" s="162" t="s">
        <v>136</v>
      </c>
      <c r="S2" s="163"/>
      <c r="T2" s="163"/>
      <c r="U2" s="163"/>
      <c r="V2" s="163"/>
      <c r="W2" s="164"/>
      <c r="X2" s="82"/>
      <c r="Y2" s="82"/>
    </row>
    <row r="3" spans="1:28" ht="17" thickBot="1" x14ac:dyDescent="0.25">
      <c r="A3" s="63"/>
      <c r="B3" s="166" t="s">
        <v>98</v>
      </c>
      <c r="C3" s="167"/>
      <c r="D3" s="167"/>
      <c r="E3" s="168"/>
      <c r="F3" s="64"/>
      <c r="G3" s="64"/>
      <c r="H3" s="64"/>
      <c r="J3" s="160" t="s">
        <v>110</v>
      </c>
      <c r="K3" s="161"/>
      <c r="L3" s="161"/>
      <c r="M3" s="161"/>
      <c r="N3" s="161"/>
      <c r="O3" s="161"/>
      <c r="R3" s="151" t="s">
        <v>119</v>
      </c>
      <c r="S3" s="152"/>
      <c r="T3" s="152"/>
      <c r="U3" s="152"/>
      <c r="V3" s="152"/>
      <c r="W3" s="152"/>
      <c r="X3" s="152"/>
      <c r="Y3" s="153"/>
    </row>
    <row r="4" spans="1:28" ht="34" x14ac:dyDescent="0.2">
      <c r="A4" s="65" t="s">
        <v>99</v>
      </c>
      <c r="B4" s="66" t="s">
        <v>100</v>
      </c>
      <c r="C4" s="67" t="s">
        <v>101</v>
      </c>
      <c r="D4" s="67" t="s">
        <v>102</v>
      </c>
      <c r="E4" s="67" t="s">
        <v>103</v>
      </c>
      <c r="F4" s="67" t="s">
        <v>104</v>
      </c>
      <c r="G4" s="67" t="s">
        <v>105</v>
      </c>
      <c r="H4" s="68" t="s">
        <v>106</v>
      </c>
      <c r="I4" s="68" t="s">
        <v>107</v>
      </c>
      <c r="J4" s="80" t="s">
        <v>59</v>
      </c>
      <c r="K4" s="80" t="s">
        <v>111</v>
      </c>
      <c r="L4" s="137" t="s">
        <v>112</v>
      </c>
      <c r="M4" s="137"/>
      <c r="N4" s="137"/>
      <c r="O4" s="80" t="s">
        <v>113</v>
      </c>
      <c r="R4" s="43" t="s">
        <v>120</v>
      </c>
      <c r="S4" s="43" t="s">
        <v>111</v>
      </c>
      <c r="T4" s="139" t="s">
        <v>112</v>
      </c>
      <c r="U4" s="140"/>
      <c r="V4" s="141"/>
      <c r="W4" s="43" t="s">
        <v>113</v>
      </c>
      <c r="X4" s="83"/>
      <c r="Y4" s="83"/>
      <c r="Z4" s="80" t="s">
        <v>93</v>
      </c>
      <c r="AA4" s="125" t="s">
        <v>121</v>
      </c>
      <c r="AB4" s="124" t="s">
        <v>138</v>
      </c>
    </row>
    <row r="5" spans="1:28" ht="17" x14ac:dyDescent="0.2">
      <c r="A5" s="69" t="s">
        <v>3</v>
      </c>
      <c r="B5" s="70">
        <v>2</v>
      </c>
      <c r="C5" s="71">
        <v>0</v>
      </c>
      <c r="D5" s="71">
        <v>4</v>
      </c>
      <c r="E5" s="72">
        <v>0</v>
      </c>
      <c r="F5" s="71">
        <v>0</v>
      </c>
      <c r="G5" s="71">
        <v>0</v>
      </c>
      <c r="H5" s="73">
        <v>0</v>
      </c>
      <c r="I5" s="74">
        <f>SUM(B5:H5)</f>
        <v>6</v>
      </c>
      <c r="J5" s="80">
        <v>0.78247222222222224</v>
      </c>
      <c r="K5" s="80">
        <v>0.85636111111111113</v>
      </c>
      <c r="L5" s="138"/>
      <c r="M5" s="138"/>
      <c r="N5" s="138"/>
      <c r="O5" s="83">
        <v>0.87933333333333341</v>
      </c>
      <c r="R5" s="80">
        <f>(J5/$B$78)*100</f>
        <v>59.107791090500861</v>
      </c>
      <c r="S5" s="80">
        <f>(K5/$D$78)*100</f>
        <v>62.456190109600698</v>
      </c>
      <c r="T5" s="138"/>
      <c r="U5" s="138"/>
      <c r="V5" s="138"/>
      <c r="W5" s="80">
        <f>(O5/$H$78)*100</f>
        <v>65.35634651911802</v>
      </c>
      <c r="X5" s="80"/>
      <c r="Y5" s="80"/>
      <c r="Z5">
        <f>STDEV(R5:S5,W5:Y5)</f>
        <v>3.126956138037813</v>
      </c>
      <c r="AA5" s="80">
        <f>AVERAGE(R5:Y5)</f>
        <v>62.306775906406529</v>
      </c>
      <c r="AB5" s="80">
        <v>78.078384399414062</v>
      </c>
    </row>
    <row r="6" spans="1:28" ht="17" x14ac:dyDescent="0.2">
      <c r="A6" s="69" t="s">
        <v>12</v>
      </c>
      <c r="B6" s="70">
        <v>0</v>
      </c>
      <c r="C6" s="71">
        <v>0</v>
      </c>
      <c r="D6" s="71">
        <v>0.5</v>
      </c>
      <c r="E6" s="71">
        <v>1.5</v>
      </c>
      <c r="F6" s="71">
        <v>2</v>
      </c>
      <c r="G6" s="71">
        <v>0</v>
      </c>
      <c r="H6" s="73">
        <v>0</v>
      </c>
      <c r="I6" s="74">
        <f>SUM(B6:H6)</f>
        <v>4</v>
      </c>
      <c r="J6" s="80">
        <v>0.83547222222222217</v>
      </c>
      <c r="K6" s="80">
        <v>0.8263611111111111</v>
      </c>
      <c r="L6" s="138"/>
      <c r="M6" s="138"/>
      <c r="N6" s="138"/>
      <c r="O6" s="83">
        <v>0.89933333333333332</v>
      </c>
      <c r="R6" s="80">
        <f t="shared" ref="R5:R46" si="0">(J6/$B$78)*100</f>
        <v>63.111400214029409</v>
      </c>
      <c r="S6" s="80">
        <f t="shared" ref="S6:S46" si="1">(K6/$D$78)*100</f>
        <v>60.268227953242437</v>
      </c>
      <c r="T6" s="138"/>
      <c r="U6" s="138"/>
      <c r="V6" s="138"/>
      <c r="W6" s="80">
        <f t="shared" ref="W6:W46" si="2">(O6/$H$78)*100</f>
        <v>66.842844165496743</v>
      </c>
      <c r="X6" s="80"/>
      <c r="Y6" s="80"/>
      <c r="Z6">
        <f t="shared" ref="Z6:Z46" si="3">STDEV(R6:S6,W6:Y6)</f>
        <v>3.2972938602710706</v>
      </c>
      <c r="AA6" s="80">
        <f t="shared" ref="AA6:AA16" si="4">AVERAGE(R6:Y6)</f>
        <v>63.407490777589523</v>
      </c>
      <c r="AB6" s="80">
        <v>75.409652709960938</v>
      </c>
    </row>
    <row r="7" spans="1:28" ht="17" x14ac:dyDescent="0.2">
      <c r="A7" s="69" t="s">
        <v>20</v>
      </c>
      <c r="B7" s="70">
        <v>0</v>
      </c>
      <c r="C7" s="71">
        <v>0</v>
      </c>
      <c r="D7" s="71">
        <v>1.5</v>
      </c>
      <c r="E7" s="71">
        <v>0</v>
      </c>
      <c r="F7" s="71">
        <v>0</v>
      </c>
      <c r="G7" s="71">
        <v>2</v>
      </c>
      <c r="H7" s="73">
        <v>0</v>
      </c>
      <c r="I7" s="74">
        <f t="shared" ref="I7:I46" si="5">SUM(B7:H7)</f>
        <v>3.5</v>
      </c>
      <c r="J7" s="80">
        <v>0.78147222222222212</v>
      </c>
      <c r="K7" s="80">
        <v>1.0753611111111112</v>
      </c>
      <c r="L7" s="138"/>
      <c r="M7" s="138"/>
      <c r="N7" s="138"/>
      <c r="O7" s="83">
        <v>1.0253333333333334</v>
      </c>
      <c r="R7" s="80">
        <f t="shared" si="0"/>
        <v>59.032251295717295</v>
      </c>
      <c r="S7" s="80">
        <f t="shared" si="1"/>
        <v>78.428313851016</v>
      </c>
      <c r="T7" s="138"/>
      <c r="U7" s="138"/>
      <c r="V7" s="138"/>
      <c r="W7" s="80">
        <f t="shared" si="2"/>
        <v>76.207779337682723</v>
      </c>
      <c r="X7" s="80"/>
      <c r="Y7" s="80"/>
      <c r="Z7">
        <f t="shared" si="3"/>
        <v>10.615529345368664</v>
      </c>
      <c r="AA7" s="80">
        <f t="shared" si="4"/>
        <v>71.222781494805346</v>
      </c>
      <c r="AB7" s="80">
        <v>79.610191345214844</v>
      </c>
    </row>
    <row r="8" spans="1:28" ht="17" x14ac:dyDescent="0.2">
      <c r="A8" s="69" t="s">
        <v>28</v>
      </c>
      <c r="B8" s="70">
        <v>0</v>
      </c>
      <c r="C8" s="71">
        <v>0</v>
      </c>
      <c r="D8" s="71">
        <v>1.5</v>
      </c>
      <c r="E8" s="71">
        <v>0.5</v>
      </c>
      <c r="F8" s="71">
        <v>0</v>
      </c>
      <c r="G8" s="71">
        <v>0</v>
      </c>
      <c r="H8" s="73">
        <v>1.5</v>
      </c>
      <c r="I8" s="74">
        <f t="shared" si="5"/>
        <v>3.5</v>
      </c>
      <c r="J8" s="80">
        <v>0.50847222222222221</v>
      </c>
      <c r="K8" s="80">
        <v>0.53136111111111106</v>
      </c>
      <c r="L8" s="138"/>
      <c r="M8" s="138"/>
      <c r="N8" s="138"/>
      <c r="O8" s="83">
        <v>0.55333333333333334</v>
      </c>
      <c r="R8" s="80">
        <f t="shared" si="0"/>
        <v>38.40988731980611</v>
      </c>
      <c r="S8" s="80">
        <f t="shared" si="1"/>
        <v>38.753266749052891</v>
      </c>
      <c r="T8" s="138"/>
      <c r="U8" s="138"/>
      <c r="V8" s="138"/>
      <c r="W8" s="80">
        <f t="shared" si="2"/>
        <v>41.126434883144768</v>
      </c>
      <c r="X8" s="80"/>
      <c r="Y8" s="80"/>
      <c r="Z8">
        <f t="shared" si="3"/>
        <v>1.4792716163132542</v>
      </c>
      <c r="AA8" s="80">
        <f t="shared" si="4"/>
        <v>39.429862984001254</v>
      </c>
      <c r="AB8" s="80">
        <v>78.814895629882812</v>
      </c>
    </row>
    <row r="9" spans="1:28" ht="17" x14ac:dyDescent="0.2">
      <c r="A9" s="69" t="s">
        <v>36</v>
      </c>
      <c r="B9" s="70">
        <v>6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4">
        <v>0</v>
      </c>
      <c r="I9" s="74">
        <f t="shared" si="5"/>
        <v>6</v>
      </c>
      <c r="J9" s="80">
        <v>2.9472222222222219E-2</v>
      </c>
      <c r="K9" s="80">
        <v>4.0361111111111118E-2</v>
      </c>
      <c r="L9" s="138"/>
      <c r="M9" s="138"/>
      <c r="N9" s="138"/>
      <c r="O9" s="83">
        <v>2.1333333333333329E-2</v>
      </c>
      <c r="R9" s="80">
        <f t="shared" si="0"/>
        <v>2.2263256184820692</v>
      </c>
      <c r="S9" s="80">
        <f t="shared" si="1"/>
        <v>2.9436194566560649</v>
      </c>
      <c r="T9" s="138"/>
      <c r="U9" s="138"/>
      <c r="V9" s="138"/>
      <c r="W9" s="80">
        <f t="shared" si="2"/>
        <v>1.5855974894706415</v>
      </c>
      <c r="X9" s="80"/>
      <c r="Y9" s="80"/>
      <c r="Z9">
        <f t="shared" si="3"/>
        <v>0.6793706215985289</v>
      </c>
      <c r="AA9" s="80">
        <f t="shared" si="4"/>
        <v>2.2518475215362588</v>
      </c>
      <c r="AB9" s="80">
        <v>21.3713264465332</v>
      </c>
    </row>
    <row r="10" spans="1:28" ht="17" x14ac:dyDescent="0.2">
      <c r="A10" s="69" t="s">
        <v>44</v>
      </c>
      <c r="B10" s="70">
        <v>3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4">
        <v>3</v>
      </c>
      <c r="I10" s="74">
        <f t="shared" si="5"/>
        <v>6</v>
      </c>
      <c r="J10" s="80">
        <v>0.2404722222222222</v>
      </c>
      <c r="K10" s="80">
        <v>0.1973611111111111</v>
      </c>
      <c r="L10" s="138"/>
      <c r="M10" s="138"/>
      <c r="N10" s="138"/>
      <c r="O10" s="83">
        <v>0.23833333333333334</v>
      </c>
      <c r="R10" s="80">
        <f t="shared" si="0"/>
        <v>18.165222317812699</v>
      </c>
      <c r="S10" s="80">
        <f t="shared" si="1"/>
        <v>14.393954741597618</v>
      </c>
      <c r="T10" s="138"/>
      <c r="U10" s="138"/>
      <c r="V10" s="138"/>
      <c r="W10" s="80">
        <f t="shared" si="2"/>
        <v>17.714096952679824</v>
      </c>
      <c r="X10" s="80"/>
      <c r="Y10" s="80"/>
      <c r="Z10">
        <f t="shared" si="3"/>
        <v>2.0595030763223479</v>
      </c>
      <c r="AA10" s="80">
        <f t="shared" si="4"/>
        <v>16.757758004030048</v>
      </c>
      <c r="AB10" s="80">
        <v>17.54472732543945</v>
      </c>
    </row>
    <row r="11" spans="1:28" ht="17" x14ac:dyDescent="0.2">
      <c r="A11" s="69" t="s">
        <v>4</v>
      </c>
      <c r="B11" s="75">
        <v>0</v>
      </c>
      <c r="C11" s="76">
        <v>0</v>
      </c>
      <c r="D11" s="76">
        <v>1.5</v>
      </c>
      <c r="E11" s="77">
        <v>4.5</v>
      </c>
      <c r="F11" s="76">
        <v>0</v>
      </c>
      <c r="G11" s="76">
        <v>0</v>
      </c>
      <c r="H11" s="78">
        <v>0</v>
      </c>
      <c r="I11" s="74">
        <f t="shared" si="5"/>
        <v>6</v>
      </c>
      <c r="J11" s="80">
        <v>2.2472222222222227E-2</v>
      </c>
      <c r="K11" s="80">
        <v>1.2361111111111114E-2</v>
      </c>
      <c r="L11" s="138"/>
      <c r="M11" s="138"/>
      <c r="N11" s="138"/>
      <c r="O11" s="83">
        <v>2.1333333333333329E-2</v>
      </c>
      <c r="R11" s="80">
        <f t="shared" si="0"/>
        <v>1.6975470549971676</v>
      </c>
      <c r="S11" s="80">
        <f t="shared" si="1"/>
        <v>0.90152144405502344</v>
      </c>
      <c r="T11" s="138"/>
      <c r="U11" s="138"/>
      <c r="V11" s="138"/>
      <c r="W11" s="80">
        <f t="shared" si="2"/>
        <v>1.5855974894706415</v>
      </c>
      <c r="X11" s="80"/>
      <c r="Y11" s="80"/>
      <c r="Z11">
        <f t="shared" si="3"/>
        <v>0.43091946548608157</v>
      </c>
      <c r="AA11" s="80">
        <f t="shared" si="4"/>
        <v>1.394888662840944</v>
      </c>
      <c r="AB11" s="80">
        <v>16.075338363647461</v>
      </c>
    </row>
    <row r="12" spans="1:28" ht="17" x14ac:dyDescent="0.2">
      <c r="A12" s="69" t="s">
        <v>13</v>
      </c>
      <c r="B12" s="75">
        <v>0</v>
      </c>
      <c r="C12" s="76">
        <v>0</v>
      </c>
      <c r="D12" s="76">
        <v>2.5</v>
      </c>
      <c r="E12" s="77">
        <v>0</v>
      </c>
      <c r="F12" s="76">
        <v>0</v>
      </c>
      <c r="G12" s="76">
        <v>0</v>
      </c>
      <c r="H12" s="78">
        <v>3</v>
      </c>
      <c r="I12" s="74">
        <f t="shared" si="5"/>
        <v>5.5</v>
      </c>
      <c r="J12" s="80">
        <v>0.36247222222222225</v>
      </c>
      <c r="K12" s="80">
        <v>0.28936111111111112</v>
      </c>
      <c r="L12" s="138"/>
      <c r="M12" s="138"/>
      <c r="N12" s="138"/>
      <c r="O12" s="83">
        <v>0.38933333333333331</v>
      </c>
      <c r="R12" s="80">
        <f t="shared" si="0"/>
        <v>27.381077281406718</v>
      </c>
      <c r="S12" s="80">
        <f t="shared" si="1"/>
        <v>21.103705354429611</v>
      </c>
      <c r="T12" s="138"/>
      <c r="U12" s="138"/>
      <c r="V12" s="138"/>
      <c r="W12" s="80">
        <f t="shared" si="2"/>
        <v>28.937154182839208</v>
      </c>
      <c r="X12" s="80"/>
      <c r="Y12" s="80"/>
      <c r="Z12">
        <f t="shared" si="3"/>
        <v>4.1470811860087231</v>
      </c>
      <c r="AA12" s="80">
        <f t="shared" si="4"/>
        <v>25.807312272891846</v>
      </c>
      <c r="AB12" s="80">
        <v>17.573005676269531</v>
      </c>
    </row>
    <row r="13" spans="1:28" ht="17" x14ac:dyDescent="0.2">
      <c r="A13" s="69" t="s">
        <v>21</v>
      </c>
      <c r="B13" s="75">
        <v>0</v>
      </c>
      <c r="C13" s="76">
        <v>0</v>
      </c>
      <c r="D13" s="76">
        <v>5.5</v>
      </c>
      <c r="E13" s="77">
        <v>0</v>
      </c>
      <c r="F13" s="76">
        <v>0</v>
      </c>
      <c r="G13" s="76">
        <v>0.5</v>
      </c>
      <c r="H13" s="78">
        <v>0</v>
      </c>
      <c r="I13" s="74">
        <f t="shared" si="5"/>
        <v>6</v>
      </c>
      <c r="J13" s="80">
        <v>0.77347222222222212</v>
      </c>
      <c r="K13" s="80">
        <v>0.83636111111111111</v>
      </c>
      <c r="L13" s="138"/>
      <c r="M13" s="138"/>
      <c r="N13" s="138"/>
      <c r="O13" s="83">
        <v>0.83333333333333337</v>
      </c>
      <c r="R13" s="80">
        <f t="shared" si="0"/>
        <v>58.427932937448837</v>
      </c>
      <c r="S13" s="80">
        <f t="shared" si="1"/>
        <v>60.997548672028522</v>
      </c>
      <c r="T13" s="138"/>
      <c r="U13" s="138"/>
      <c r="V13" s="138"/>
      <c r="W13" s="80">
        <f t="shared" si="2"/>
        <v>61.937401932446946</v>
      </c>
      <c r="X13" s="80"/>
      <c r="Y13" s="80"/>
      <c r="Z13">
        <f t="shared" si="3"/>
        <v>1.8167104796569207</v>
      </c>
      <c r="AA13" s="80">
        <f t="shared" si="4"/>
        <v>60.454294513974766</v>
      </c>
      <c r="AB13" s="80">
        <v>72.793403625488281</v>
      </c>
    </row>
    <row r="14" spans="1:28" ht="17" x14ac:dyDescent="0.2">
      <c r="A14" s="69" t="s">
        <v>29</v>
      </c>
      <c r="B14" s="75">
        <v>0</v>
      </c>
      <c r="C14" s="76">
        <v>2</v>
      </c>
      <c r="D14" s="76">
        <v>4</v>
      </c>
      <c r="E14" s="77">
        <v>0</v>
      </c>
      <c r="F14" s="76">
        <v>0</v>
      </c>
      <c r="G14" s="76">
        <v>0</v>
      </c>
      <c r="H14" s="78">
        <v>0</v>
      </c>
      <c r="I14" s="74">
        <f>SUM(B14:H14)</f>
        <v>6</v>
      </c>
      <c r="J14" s="80">
        <v>0.65247222222222212</v>
      </c>
      <c r="K14" s="80">
        <v>0.51936111111111116</v>
      </c>
      <c r="L14" s="138"/>
      <c r="M14" s="138"/>
      <c r="N14" s="138"/>
      <c r="O14" s="83">
        <v>0.53933333333333333</v>
      </c>
      <c r="R14" s="80">
        <f t="shared" si="0"/>
        <v>49.287617768638384</v>
      </c>
      <c r="S14" s="80">
        <f t="shared" si="1"/>
        <v>37.878081886509598</v>
      </c>
      <c r="T14" s="138"/>
      <c r="U14" s="138"/>
      <c r="V14" s="138"/>
      <c r="W14" s="80">
        <f t="shared" si="2"/>
        <v>40.085886530679659</v>
      </c>
      <c r="X14" s="80"/>
      <c r="Y14" s="80"/>
      <c r="Z14">
        <f t="shared" si="3"/>
        <v>6.0514979986780446</v>
      </c>
      <c r="AA14" s="80">
        <f t="shared" si="4"/>
        <v>42.417195395275883</v>
      </c>
      <c r="AB14" s="80">
        <v>67.498992919921875</v>
      </c>
    </row>
    <row r="15" spans="1:28" ht="17" x14ac:dyDescent="0.2">
      <c r="A15" s="69" t="s">
        <v>37</v>
      </c>
      <c r="B15" s="75">
        <v>0</v>
      </c>
      <c r="C15" s="76">
        <v>0</v>
      </c>
      <c r="D15" s="76">
        <v>3.5</v>
      </c>
      <c r="E15" s="77">
        <v>0.5</v>
      </c>
      <c r="F15" s="76">
        <v>0</v>
      </c>
      <c r="G15" s="76">
        <v>0</v>
      </c>
      <c r="H15" s="78">
        <v>1.5</v>
      </c>
      <c r="I15" s="74">
        <f t="shared" si="5"/>
        <v>5.5</v>
      </c>
      <c r="J15" s="80">
        <v>0.56547222222222215</v>
      </c>
      <c r="K15" s="80">
        <v>0.54536111111111107</v>
      </c>
      <c r="L15" s="138"/>
      <c r="M15" s="138"/>
      <c r="N15" s="138"/>
      <c r="O15" s="83">
        <v>0.53533333333333333</v>
      </c>
      <c r="R15" s="80">
        <f t="shared" si="0"/>
        <v>42.715655622468887</v>
      </c>
      <c r="S15" s="80">
        <f t="shared" si="1"/>
        <v>39.774315755353413</v>
      </c>
      <c r="T15" s="138"/>
      <c r="U15" s="138"/>
      <c r="V15" s="138"/>
      <c r="W15" s="80">
        <f t="shared" si="2"/>
        <v>39.788587001403911</v>
      </c>
      <c r="X15" s="80"/>
      <c r="Y15" s="80"/>
      <c r="Z15">
        <f t="shared" si="3"/>
        <v>1.694078638216554</v>
      </c>
      <c r="AA15" s="80">
        <f t="shared" si="4"/>
        <v>40.759519459742073</v>
      </c>
      <c r="AB15" s="80">
        <v>66.537864685058594</v>
      </c>
    </row>
    <row r="16" spans="1:28" ht="17" x14ac:dyDescent="0.2">
      <c r="A16" s="69" t="s">
        <v>45</v>
      </c>
      <c r="B16" s="75">
        <v>0</v>
      </c>
      <c r="C16" s="76">
        <v>0</v>
      </c>
      <c r="D16" s="76">
        <v>4</v>
      </c>
      <c r="E16" s="77">
        <v>0</v>
      </c>
      <c r="F16" s="76">
        <v>2</v>
      </c>
      <c r="G16" s="76">
        <v>0</v>
      </c>
      <c r="H16" s="78">
        <v>0</v>
      </c>
      <c r="I16" s="74">
        <f t="shared" si="5"/>
        <v>6</v>
      </c>
      <c r="J16" s="80">
        <v>0.51547222222222233</v>
      </c>
      <c r="K16" s="80">
        <v>0.48636111111111113</v>
      </c>
      <c r="L16" s="138"/>
      <c r="M16" s="138"/>
      <c r="N16" s="138"/>
      <c r="O16" s="83">
        <v>0.53133333333333332</v>
      </c>
      <c r="R16" s="80">
        <f t="shared" si="0"/>
        <v>38.938665883291023</v>
      </c>
      <c r="S16" s="80">
        <f t="shared" si="1"/>
        <v>35.471323514515504</v>
      </c>
      <c r="T16" s="138"/>
      <c r="U16" s="138"/>
      <c r="V16" s="138"/>
      <c r="W16" s="80">
        <f t="shared" si="2"/>
        <v>39.491287472128164</v>
      </c>
      <c r="X16" s="80"/>
      <c r="Y16" s="80"/>
      <c r="Z16">
        <f t="shared" si="3"/>
        <v>2.1789892130396744</v>
      </c>
      <c r="AA16" s="80">
        <f t="shared" si="4"/>
        <v>37.967092289978233</v>
      </c>
      <c r="AB16" s="80">
        <v>71.480262756347656</v>
      </c>
    </row>
    <row r="17" spans="1:28" ht="17" x14ac:dyDescent="0.2">
      <c r="A17" s="69" t="s">
        <v>5</v>
      </c>
      <c r="B17" s="70">
        <v>5</v>
      </c>
      <c r="C17" s="71">
        <v>0.5</v>
      </c>
      <c r="D17" s="71">
        <v>0.5</v>
      </c>
      <c r="E17" s="72">
        <v>0</v>
      </c>
      <c r="F17" s="71">
        <v>0</v>
      </c>
      <c r="G17" s="71">
        <v>0</v>
      </c>
      <c r="H17" s="74">
        <v>0</v>
      </c>
      <c r="I17" s="74">
        <f t="shared" si="5"/>
        <v>6</v>
      </c>
      <c r="J17" s="80">
        <v>9.7472222222222238E-2</v>
      </c>
      <c r="K17" s="80">
        <v>0.12436111111111112</v>
      </c>
      <c r="L17" s="138"/>
      <c r="M17" s="138"/>
      <c r="N17" s="138"/>
      <c r="O17" s="83">
        <v>0.12533333333333335</v>
      </c>
      <c r="R17" s="80">
        <f t="shared" si="0"/>
        <v>7.3630316637639801</v>
      </c>
      <c r="S17" s="80">
        <f t="shared" si="1"/>
        <v>9.0699134944591897</v>
      </c>
      <c r="T17" s="138"/>
      <c r="U17" s="138"/>
      <c r="V17" s="138"/>
      <c r="W17" s="80">
        <f t="shared" si="2"/>
        <v>9.3153852506400217</v>
      </c>
      <c r="X17" s="80"/>
      <c r="Y17" s="80"/>
      <c r="Z17">
        <f t="shared" si="3"/>
        <v>1.0634367631432633</v>
      </c>
      <c r="AA17" s="80">
        <f>AVERAGE(R17:Y17)</f>
        <v>8.5827768029543972</v>
      </c>
      <c r="AB17" s="80">
        <v>40.497528076171882</v>
      </c>
    </row>
    <row r="18" spans="1:28" ht="17" x14ac:dyDescent="0.2">
      <c r="A18" s="69" t="s">
        <v>14</v>
      </c>
      <c r="B18" s="70">
        <v>2.5</v>
      </c>
      <c r="C18" s="71">
        <v>0</v>
      </c>
      <c r="D18" s="71">
        <v>0</v>
      </c>
      <c r="E18" s="72">
        <v>0</v>
      </c>
      <c r="F18" s="71">
        <v>0</v>
      </c>
      <c r="G18" s="71">
        <v>0</v>
      </c>
      <c r="H18" s="74">
        <v>2.5</v>
      </c>
      <c r="I18" s="74">
        <f t="shared" si="5"/>
        <v>5</v>
      </c>
      <c r="J18" s="80">
        <v>0.37747222222222221</v>
      </c>
      <c r="K18" s="80">
        <v>0.37536111111111109</v>
      </c>
      <c r="L18" s="138"/>
      <c r="M18" s="138"/>
      <c r="N18" s="138"/>
      <c r="O18" s="83">
        <v>0.44733333333333331</v>
      </c>
      <c r="R18" s="80">
        <f t="shared" si="0"/>
        <v>28.514174203160074</v>
      </c>
      <c r="S18" s="80">
        <f t="shared" si="1"/>
        <v>27.375863535989946</v>
      </c>
      <c r="T18" s="138"/>
      <c r="U18" s="138"/>
      <c r="V18" s="138"/>
      <c r="W18" s="80">
        <f t="shared" si="2"/>
        <v>33.247997357337518</v>
      </c>
      <c r="X18" s="80"/>
      <c r="Y18" s="80"/>
      <c r="Z18">
        <f t="shared" si="3"/>
        <v>3.1141287825498858</v>
      </c>
      <c r="AA18" s="80">
        <f t="shared" ref="AA18:AA48" si="6">AVERAGE(R18:Y18)</f>
        <v>29.712678365495844</v>
      </c>
      <c r="AB18" s="80">
        <v>38.993827819824219</v>
      </c>
    </row>
    <row r="19" spans="1:28" ht="17" x14ac:dyDescent="0.2">
      <c r="A19" s="69" t="s">
        <v>22</v>
      </c>
      <c r="B19" s="70">
        <v>0</v>
      </c>
      <c r="C19" s="71">
        <v>0</v>
      </c>
      <c r="D19" s="71">
        <v>3.5</v>
      </c>
      <c r="E19" s="72">
        <v>0</v>
      </c>
      <c r="F19" s="71">
        <v>0</v>
      </c>
      <c r="G19" s="71">
        <v>0</v>
      </c>
      <c r="H19" s="74">
        <v>2.5</v>
      </c>
      <c r="I19" s="74">
        <f t="shared" si="5"/>
        <v>6</v>
      </c>
      <c r="J19" s="80">
        <v>0.43547222222222221</v>
      </c>
      <c r="K19" s="80">
        <v>0.43636111111111109</v>
      </c>
      <c r="L19" s="138"/>
      <c r="M19" s="138"/>
      <c r="N19" s="138"/>
      <c r="O19" s="83">
        <v>0.43233333333333329</v>
      </c>
      <c r="R19" s="80">
        <f t="shared" si="0"/>
        <v>32.89548230060641</v>
      </c>
      <c r="S19" s="80">
        <f t="shared" si="1"/>
        <v>31.824719920585075</v>
      </c>
      <c r="T19" s="138"/>
      <c r="U19" s="138"/>
      <c r="V19" s="138"/>
      <c r="W19" s="80">
        <f t="shared" si="2"/>
        <v>32.133124122553468</v>
      </c>
      <c r="X19" s="80"/>
      <c r="Y19" s="80"/>
      <c r="Z19">
        <f t="shared" si="3"/>
        <v>0.55118587577224765</v>
      </c>
      <c r="AA19" s="80">
        <f t="shared" si="6"/>
        <v>32.284442114581651</v>
      </c>
      <c r="AB19" s="80">
        <v>42.731056213378913</v>
      </c>
    </row>
    <row r="20" spans="1:28" ht="17" x14ac:dyDescent="0.2">
      <c r="A20" s="69" t="s">
        <v>30</v>
      </c>
      <c r="B20" s="70">
        <v>0</v>
      </c>
      <c r="C20" s="71">
        <v>2.5</v>
      </c>
      <c r="D20" s="71">
        <v>2.5</v>
      </c>
      <c r="E20" s="72">
        <v>0</v>
      </c>
      <c r="F20" s="71">
        <v>0</v>
      </c>
      <c r="G20" s="71">
        <v>0</v>
      </c>
      <c r="H20" s="74">
        <v>1</v>
      </c>
      <c r="I20" s="74">
        <f t="shared" si="5"/>
        <v>6</v>
      </c>
      <c r="J20" s="80">
        <v>0.48047222222222224</v>
      </c>
      <c r="K20" s="80">
        <v>0.41836111111111113</v>
      </c>
      <c r="L20" s="138"/>
      <c r="M20" s="138"/>
      <c r="N20" s="138"/>
      <c r="O20" s="83">
        <v>0.4413333333333333</v>
      </c>
      <c r="R20" s="80">
        <f t="shared" si="0"/>
        <v>36.294773065866501</v>
      </c>
      <c r="S20" s="80">
        <f t="shared" si="1"/>
        <v>30.511942626770121</v>
      </c>
      <c r="T20" s="138"/>
      <c r="U20" s="138"/>
      <c r="V20" s="138"/>
      <c r="W20" s="80">
        <f t="shared" si="2"/>
        <v>32.802048063423896</v>
      </c>
      <c r="X20" s="80"/>
      <c r="Y20" s="80"/>
      <c r="Z20">
        <f t="shared" si="3"/>
        <v>2.9121824216275352</v>
      </c>
      <c r="AA20" s="80">
        <f t="shared" si="6"/>
        <v>33.202921252020175</v>
      </c>
      <c r="AB20" s="80">
        <v>38.656471252441413</v>
      </c>
    </row>
    <row r="21" spans="1:28" ht="17" x14ac:dyDescent="0.2">
      <c r="A21" s="69" t="s">
        <v>38</v>
      </c>
      <c r="B21" s="70">
        <v>0</v>
      </c>
      <c r="C21" s="71">
        <v>0</v>
      </c>
      <c r="D21" s="71">
        <v>0</v>
      </c>
      <c r="E21" s="72">
        <v>0</v>
      </c>
      <c r="F21" s="71">
        <v>5</v>
      </c>
      <c r="G21" s="71">
        <v>0</v>
      </c>
      <c r="H21" s="74">
        <v>1</v>
      </c>
      <c r="I21" s="74">
        <f t="shared" si="5"/>
        <v>6</v>
      </c>
      <c r="J21" s="80">
        <v>5.747222222222223E-2</v>
      </c>
      <c r="K21" s="80">
        <v>0.1103611111111111</v>
      </c>
      <c r="L21" s="138"/>
      <c r="M21" s="138"/>
      <c r="N21" s="138"/>
      <c r="O21" s="83">
        <v>0.12633333333333335</v>
      </c>
      <c r="R21" s="80">
        <f t="shared" si="0"/>
        <v>4.3414398724216801</v>
      </c>
      <c r="S21" s="80">
        <f t="shared" si="1"/>
        <v>8.0488644881586673</v>
      </c>
      <c r="T21" s="138"/>
      <c r="U21" s="138"/>
      <c r="V21" s="138"/>
      <c r="W21" s="80">
        <f t="shared" si="2"/>
        <v>9.3897101329589567</v>
      </c>
      <c r="X21" s="80"/>
      <c r="Y21" s="80"/>
      <c r="Z21">
        <f t="shared" si="3"/>
        <v>2.6149536945542491</v>
      </c>
      <c r="AA21" s="80">
        <f t="shared" si="6"/>
        <v>7.260004831179768</v>
      </c>
      <c r="AB21" s="80">
        <v>3.4421110153198242</v>
      </c>
    </row>
    <row r="22" spans="1:28" ht="17" x14ac:dyDescent="0.2">
      <c r="A22" s="69" t="s">
        <v>46</v>
      </c>
      <c r="B22" s="70">
        <v>0</v>
      </c>
      <c r="C22" s="71">
        <v>5</v>
      </c>
      <c r="D22" s="71">
        <v>0</v>
      </c>
      <c r="E22" s="72">
        <v>0</v>
      </c>
      <c r="F22" s="71">
        <v>0</v>
      </c>
      <c r="G22" s="71">
        <v>0</v>
      </c>
      <c r="H22" s="74">
        <v>1</v>
      </c>
      <c r="I22" s="74">
        <f t="shared" si="5"/>
        <v>6</v>
      </c>
      <c r="J22" s="80">
        <v>8.6472222222222228E-2</v>
      </c>
      <c r="K22" s="80">
        <v>6.6361111111111121E-2</v>
      </c>
      <c r="L22" s="138"/>
      <c r="M22" s="138"/>
      <c r="N22" s="138"/>
      <c r="O22" s="83">
        <v>9.8333333333333314E-2</v>
      </c>
      <c r="R22" s="80">
        <f t="shared" si="0"/>
        <v>6.5320939211448481</v>
      </c>
      <c r="S22" s="80">
        <f t="shared" si="1"/>
        <v>4.839853325499889</v>
      </c>
      <c r="T22" s="138"/>
      <c r="U22" s="138"/>
      <c r="V22" s="138"/>
      <c r="W22" s="80">
        <f t="shared" si="2"/>
        <v>7.3086134280287371</v>
      </c>
      <c r="X22" s="80"/>
      <c r="Y22" s="80"/>
      <c r="Z22">
        <f t="shared" si="3"/>
        <v>1.2623679615414767</v>
      </c>
      <c r="AA22" s="80">
        <f t="shared" si="6"/>
        <v>6.2268535582244908</v>
      </c>
      <c r="AB22" s="80">
        <v>4.5870676040649414</v>
      </c>
    </row>
    <row r="23" spans="1:28" ht="17" x14ac:dyDescent="0.2">
      <c r="A23" s="69" t="s">
        <v>6</v>
      </c>
      <c r="B23" s="75">
        <v>1.5</v>
      </c>
      <c r="C23" s="76">
        <v>1</v>
      </c>
      <c r="D23" s="76">
        <v>0</v>
      </c>
      <c r="E23" s="77">
        <v>1</v>
      </c>
      <c r="F23" s="76">
        <v>0.5</v>
      </c>
      <c r="G23" s="76">
        <v>1</v>
      </c>
      <c r="H23" s="78">
        <v>1</v>
      </c>
      <c r="I23" s="74">
        <f t="shared" si="5"/>
        <v>6</v>
      </c>
      <c r="J23" s="80">
        <v>0.17847222222222223</v>
      </c>
      <c r="K23" s="80">
        <v>0.2023611111111111</v>
      </c>
      <c r="L23" s="138"/>
      <c r="M23" s="138"/>
      <c r="N23" s="138"/>
      <c r="O23" s="83">
        <v>0.2493333333333333</v>
      </c>
      <c r="R23" s="80">
        <f t="shared" si="0"/>
        <v>13.481755041232137</v>
      </c>
      <c r="S23" s="80">
        <f t="shared" si="1"/>
        <v>14.75861510099066</v>
      </c>
      <c r="T23" s="138"/>
      <c r="U23" s="138"/>
      <c r="V23" s="138"/>
      <c r="W23" s="80">
        <f t="shared" si="2"/>
        <v>18.531670658188119</v>
      </c>
      <c r="X23" s="80"/>
      <c r="Y23" s="80"/>
      <c r="Z23">
        <f t="shared" si="3"/>
        <v>2.6257686997741208</v>
      </c>
      <c r="AA23" s="80">
        <f t="shared" si="6"/>
        <v>15.590680266803639</v>
      </c>
      <c r="AB23" s="80">
        <v>7.9334349632263184</v>
      </c>
    </row>
    <row r="24" spans="1:28" ht="17" x14ac:dyDescent="0.2">
      <c r="A24" s="69" t="s">
        <v>15</v>
      </c>
      <c r="B24" s="75">
        <v>0</v>
      </c>
      <c r="C24" s="76">
        <v>0</v>
      </c>
      <c r="D24" s="76">
        <v>0</v>
      </c>
      <c r="E24" s="77">
        <v>3</v>
      </c>
      <c r="F24" s="76">
        <v>0</v>
      </c>
      <c r="G24" s="76">
        <v>3</v>
      </c>
      <c r="H24" s="78">
        <v>0</v>
      </c>
      <c r="I24" s="74">
        <f t="shared" si="5"/>
        <v>6</v>
      </c>
      <c r="J24" s="80">
        <v>1.7472222222222222E-2</v>
      </c>
      <c r="K24" s="80">
        <v>1.4361111111111116E-2</v>
      </c>
      <c r="L24" s="138"/>
      <c r="M24" s="138"/>
      <c r="N24" s="138"/>
      <c r="O24" s="83">
        <v>2.3333333333333331E-2</v>
      </c>
      <c r="R24" s="80">
        <f t="shared" si="0"/>
        <v>1.3198480810793798</v>
      </c>
      <c r="S24" s="80">
        <f t="shared" si="1"/>
        <v>1.0473855878122407</v>
      </c>
      <c r="T24" s="138"/>
      <c r="U24" s="138"/>
      <c r="V24" s="138"/>
      <c r="W24" s="80">
        <f t="shared" si="2"/>
        <v>1.7342472541085143</v>
      </c>
      <c r="X24" s="80"/>
      <c r="Y24" s="80"/>
      <c r="Z24">
        <f t="shared" si="3"/>
        <v>0.34586640809033808</v>
      </c>
      <c r="AA24" s="80">
        <f t="shared" si="6"/>
        <v>1.3671603076667116</v>
      </c>
      <c r="AB24" s="80">
        <v>4.8221964836120614</v>
      </c>
    </row>
    <row r="25" spans="1:28" ht="17" x14ac:dyDescent="0.2">
      <c r="A25" s="69" t="s">
        <v>23</v>
      </c>
      <c r="B25" s="75">
        <v>0</v>
      </c>
      <c r="C25" s="76">
        <v>0.5</v>
      </c>
      <c r="D25" s="76">
        <v>3.5</v>
      </c>
      <c r="E25" s="77">
        <v>0</v>
      </c>
      <c r="F25" s="76">
        <v>0</v>
      </c>
      <c r="G25" s="76">
        <v>0</v>
      </c>
      <c r="H25" s="78">
        <v>2</v>
      </c>
      <c r="I25" s="74">
        <f t="shared" si="5"/>
        <v>6</v>
      </c>
      <c r="J25" s="80">
        <v>0.44147222222222221</v>
      </c>
      <c r="K25" s="80">
        <v>0.48136111111111113</v>
      </c>
      <c r="L25" s="138"/>
      <c r="M25" s="138"/>
      <c r="N25" s="138"/>
      <c r="O25" s="83">
        <v>0.4443333333333333</v>
      </c>
      <c r="R25" s="80">
        <f t="shared" si="0"/>
        <v>33.348721069307757</v>
      </c>
      <c r="S25" s="80">
        <f t="shared" si="1"/>
        <v>35.106663155122462</v>
      </c>
      <c r="T25" s="138"/>
      <c r="U25" s="138"/>
      <c r="V25" s="138"/>
      <c r="W25" s="80">
        <f t="shared" si="2"/>
        <v>33.025022710380711</v>
      </c>
      <c r="X25" s="80"/>
      <c r="Y25" s="80"/>
      <c r="Z25">
        <f t="shared" si="3"/>
        <v>1.1201464149710707</v>
      </c>
      <c r="AA25" s="80">
        <f t="shared" si="6"/>
        <v>33.826802311603643</v>
      </c>
      <c r="AB25" s="80">
        <v>48.541118621826172</v>
      </c>
    </row>
    <row r="26" spans="1:28" ht="17" x14ac:dyDescent="0.2">
      <c r="A26" s="69" t="s">
        <v>31</v>
      </c>
      <c r="B26" s="75">
        <v>0</v>
      </c>
      <c r="C26" s="77">
        <v>0</v>
      </c>
      <c r="D26" s="76">
        <v>0</v>
      </c>
      <c r="E26" s="77">
        <v>4</v>
      </c>
      <c r="F26" s="76">
        <v>0</v>
      </c>
      <c r="G26" s="76">
        <v>0</v>
      </c>
      <c r="H26" s="78">
        <v>0</v>
      </c>
      <c r="I26" s="74">
        <f t="shared" si="5"/>
        <v>4</v>
      </c>
      <c r="J26" s="80">
        <v>0.77447222222222223</v>
      </c>
      <c r="K26" s="80">
        <v>0.80436111111111108</v>
      </c>
      <c r="L26" s="138"/>
      <c r="M26" s="138"/>
      <c r="N26" s="138"/>
      <c r="O26" s="83">
        <v>0.73333333333333339</v>
      </c>
      <c r="R26" s="80">
        <f t="shared" si="0"/>
        <v>58.50347273223241</v>
      </c>
      <c r="S26" s="80">
        <f t="shared" si="1"/>
        <v>58.663722371913039</v>
      </c>
      <c r="T26" s="138"/>
      <c r="U26" s="138"/>
      <c r="V26" s="138"/>
      <c r="W26" s="80">
        <f t="shared" si="2"/>
        <v>54.504913700553317</v>
      </c>
      <c r="X26" s="80"/>
      <c r="Y26" s="80"/>
      <c r="Z26">
        <f t="shared" si="3"/>
        <v>2.3561919786602363</v>
      </c>
      <c r="AA26" s="80">
        <f t="shared" si="6"/>
        <v>57.224036268232929</v>
      </c>
      <c r="AB26" s="80">
        <v>50.672317504882812</v>
      </c>
    </row>
    <row r="27" spans="1:28" ht="17" x14ac:dyDescent="0.2">
      <c r="A27" s="69" t="s">
        <v>39</v>
      </c>
      <c r="B27" s="75">
        <v>2</v>
      </c>
      <c r="C27" s="76">
        <v>0</v>
      </c>
      <c r="D27" s="76">
        <v>0</v>
      </c>
      <c r="E27" s="77">
        <v>0</v>
      </c>
      <c r="F27" s="76">
        <v>0</v>
      </c>
      <c r="G27" s="76">
        <v>0</v>
      </c>
      <c r="H27" s="78">
        <v>2.5</v>
      </c>
      <c r="I27" s="74">
        <f t="shared" si="5"/>
        <v>4.5</v>
      </c>
      <c r="J27" s="80">
        <v>0.44347222222222221</v>
      </c>
      <c r="K27" s="80">
        <v>0.51436111111111116</v>
      </c>
      <c r="L27" s="138"/>
      <c r="M27" s="138"/>
      <c r="N27" s="138"/>
      <c r="O27" s="83">
        <v>0.45133333333333331</v>
      </c>
      <c r="R27" s="80">
        <f t="shared" si="0"/>
        <v>33.499800658874875</v>
      </c>
      <c r="S27" s="80">
        <f t="shared" si="1"/>
        <v>37.513421527116556</v>
      </c>
      <c r="T27" s="138"/>
      <c r="U27" s="138"/>
      <c r="V27" s="138"/>
      <c r="W27" s="80">
        <f t="shared" si="2"/>
        <v>33.545296886613265</v>
      </c>
      <c r="X27" s="80"/>
      <c r="Y27" s="80"/>
      <c r="Z27">
        <f t="shared" si="3"/>
        <v>2.3042437495229282</v>
      </c>
      <c r="AA27" s="80">
        <f t="shared" si="6"/>
        <v>34.85283969086823</v>
      </c>
      <c r="AB27" s="80">
        <v>48.479785919189453</v>
      </c>
    </row>
    <row r="28" spans="1:28" ht="17" x14ac:dyDescent="0.2">
      <c r="A28" s="69" t="s">
        <v>47</v>
      </c>
      <c r="B28" s="75">
        <v>0</v>
      </c>
      <c r="C28" s="76">
        <v>0</v>
      </c>
      <c r="D28" s="76">
        <v>3.5</v>
      </c>
      <c r="E28" s="77">
        <v>0</v>
      </c>
      <c r="F28" s="76">
        <v>0</v>
      </c>
      <c r="G28" s="76">
        <v>2.5</v>
      </c>
      <c r="H28" s="78">
        <v>0</v>
      </c>
      <c r="I28" s="74">
        <f t="shared" si="5"/>
        <v>6</v>
      </c>
      <c r="J28" s="80">
        <v>0.56947222222222216</v>
      </c>
      <c r="K28" s="80">
        <v>0.44336111111111109</v>
      </c>
      <c r="L28" s="138"/>
      <c r="M28" s="138"/>
      <c r="N28" s="138"/>
      <c r="O28" s="83">
        <v>0.42633333333333329</v>
      </c>
      <c r="R28" s="80">
        <f t="shared" si="0"/>
        <v>43.017814801603116</v>
      </c>
      <c r="S28" s="80">
        <f t="shared" si="1"/>
        <v>32.33524442373534</v>
      </c>
      <c r="T28" s="138"/>
      <c r="U28" s="138"/>
      <c r="V28" s="138"/>
      <c r="W28" s="80">
        <f t="shared" si="2"/>
        <v>31.687174828639854</v>
      </c>
      <c r="X28" s="80"/>
      <c r="Y28" s="80"/>
      <c r="Z28">
        <f t="shared" si="3"/>
        <v>6.3629226287283318</v>
      </c>
      <c r="AA28" s="80">
        <f t="shared" si="6"/>
        <v>35.68007801799277</v>
      </c>
      <c r="AB28" s="80">
        <v>47.531570434570312</v>
      </c>
    </row>
    <row r="29" spans="1:28" ht="17" x14ac:dyDescent="0.2">
      <c r="A29" s="69" t="s">
        <v>7</v>
      </c>
      <c r="B29" s="70">
        <v>0</v>
      </c>
      <c r="C29" s="71">
        <v>0</v>
      </c>
      <c r="D29" s="71">
        <v>3</v>
      </c>
      <c r="E29" s="72">
        <v>0</v>
      </c>
      <c r="F29" s="71">
        <v>0</v>
      </c>
      <c r="G29" s="71">
        <v>0</v>
      </c>
      <c r="H29" s="74">
        <v>3</v>
      </c>
      <c r="I29" s="74">
        <f t="shared" si="5"/>
        <v>6</v>
      </c>
      <c r="J29" s="80">
        <v>0.13747222222222222</v>
      </c>
      <c r="K29" s="80">
        <v>8.7361111111111112E-2</v>
      </c>
      <c r="L29" s="138"/>
      <c r="M29" s="138"/>
      <c r="N29" s="138"/>
      <c r="O29" s="83">
        <v>0.10733333333333332</v>
      </c>
      <c r="R29" s="80">
        <f t="shared" si="0"/>
        <v>10.384623455106279</v>
      </c>
      <c r="S29" s="80">
        <f t="shared" si="1"/>
        <v>6.3714268349506691</v>
      </c>
      <c r="T29" s="138"/>
      <c r="U29" s="138"/>
      <c r="V29" s="138"/>
      <c r="W29" s="80">
        <f t="shared" si="2"/>
        <v>7.9775373688991653</v>
      </c>
      <c r="X29" s="80"/>
      <c r="Y29" s="80"/>
      <c r="Z29">
        <f t="shared" si="3"/>
        <v>2.0198762992528656</v>
      </c>
      <c r="AA29" s="80">
        <f t="shared" si="6"/>
        <v>8.244529219652037</v>
      </c>
      <c r="AB29" s="80">
        <v>25.481584548950199</v>
      </c>
    </row>
    <row r="30" spans="1:28" ht="17" x14ac:dyDescent="0.2">
      <c r="A30" s="69" t="s">
        <v>16</v>
      </c>
      <c r="B30" s="70">
        <v>0</v>
      </c>
      <c r="C30" s="71">
        <v>0</v>
      </c>
      <c r="D30" s="71">
        <v>0</v>
      </c>
      <c r="E30" s="72">
        <v>0</v>
      </c>
      <c r="F30" s="71">
        <v>6</v>
      </c>
      <c r="G30" s="71">
        <v>0</v>
      </c>
      <c r="H30" s="74">
        <v>0</v>
      </c>
      <c r="I30" s="74">
        <f t="shared" si="5"/>
        <v>6</v>
      </c>
      <c r="J30" s="80">
        <v>0.22547222222222224</v>
      </c>
      <c r="K30" s="80">
        <v>0.37036111111111109</v>
      </c>
      <c r="L30" s="138"/>
      <c r="M30" s="138"/>
      <c r="N30" s="138"/>
      <c r="O30" s="83">
        <v>0.26033333333333331</v>
      </c>
      <c r="R30" s="80">
        <f t="shared" si="0"/>
        <v>17.032125396059342</v>
      </c>
      <c r="S30" s="80">
        <f t="shared" si="1"/>
        <v>27.011203176596904</v>
      </c>
      <c r="T30" s="138"/>
      <c r="U30" s="138"/>
      <c r="V30" s="138"/>
      <c r="W30" s="80">
        <f t="shared" si="2"/>
        <v>19.349244363696421</v>
      </c>
      <c r="X30" s="80"/>
      <c r="Y30" s="80"/>
      <c r="Z30">
        <f t="shared" si="3"/>
        <v>5.222653324872085</v>
      </c>
      <c r="AA30" s="80">
        <f t="shared" si="6"/>
        <v>21.130857645450892</v>
      </c>
      <c r="AB30" s="80">
        <v>26.23465538024902</v>
      </c>
    </row>
    <row r="31" spans="1:28" ht="17" x14ac:dyDescent="0.2">
      <c r="A31" s="69" t="s">
        <v>24</v>
      </c>
      <c r="B31" s="70">
        <v>2.5</v>
      </c>
      <c r="C31" s="71">
        <v>0</v>
      </c>
      <c r="D31" s="71">
        <v>0</v>
      </c>
      <c r="E31" s="72">
        <v>0</v>
      </c>
      <c r="F31" s="71">
        <v>0</v>
      </c>
      <c r="G31" s="71">
        <v>0</v>
      </c>
      <c r="H31" s="74">
        <v>3</v>
      </c>
      <c r="I31" s="74">
        <f t="shared" si="5"/>
        <v>5.5</v>
      </c>
      <c r="J31" s="80">
        <v>0.26347222222222222</v>
      </c>
      <c r="K31" s="80">
        <v>0.31336111111111109</v>
      </c>
      <c r="L31" s="138"/>
      <c r="M31" s="138"/>
      <c r="N31" s="138"/>
      <c r="O31" s="83">
        <v>0.30333333333333329</v>
      </c>
      <c r="R31" s="80">
        <f t="shared" si="0"/>
        <v>19.902637597834524</v>
      </c>
      <c r="S31" s="80">
        <f t="shared" si="1"/>
        <v>22.854075079516214</v>
      </c>
      <c r="T31" s="138"/>
      <c r="U31" s="138"/>
      <c r="V31" s="138"/>
      <c r="W31" s="80">
        <f t="shared" si="2"/>
        <v>22.545214303410681</v>
      </c>
      <c r="X31" s="80"/>
      <c r="Y31" s="80"/>
      <c r="Z31">
        <f t="shared" si="3"/>
        <v>1.6222201778296417</v>
      </c>
      <c r="AA31" s="80">
        <f t="shared" si="6"/>
        <v>21.767308993587136</v>
      </c>
      <c r="AB31" s="80">
        <v>24.036037445068359</v>
      </c>
    </row>
    <row r="32" spans="1:28" ht="17" x14ac:dyDescent="0.2">
      <c r="A32" s="69" t="s">
        <v>32</v>
      </c>
      <c r="B32" s="70">
        <v>3</v>
      </c>
      <c r="C32" s="71">
        <v>0</v>
      </c>
      <c r="D32" s="71">
        <v>0</v>
      </c>
      <c r="E32" s="72">
        <v>3</v>
      </c>
      <c r="F32" s="71">
        <v>0</v>
      </c>
      <c r="G32" s="71">
        <v>0</v>
      </c>
      <c r="H32" s="74">
        <v>0</v>
      </c>
      <c r="I32" s="74">
        <f t="shared" si="5"/>
        <v>6</v>
      </c>
      <c r="J32" s="80">
        <v>0.34747222222222224</v>
      </c>
      <c r="K32" s="80">
        <v>0.29436111111111113</v>
      </c>
      <c r="L32" s="138"/>
      <c r="M32" s="138"/>
      <c r="N32" s="138"/>
      <c r="O32" s="83">
        <v>0.19833333333333331</v>
      </c>
      <c r="R32" s="80">
        <f t="shared" si="0"/>
        <v>26.247980359653354</v>
      </c>
      <c r="S32" s="80">
        <f t="shared" si="1"/>
        <v>21.468365713822653</v>
      </c>
      <c r="T32" s="138"/>
      <c r="U32" s="138"/>
      <c r="V32" s="138"/>
      <c r="W32" s="80">
        <f t="shared" si="2"/>
        <v>14.74110165992237</v>
      </c>
      <c r="X32" s="80"/>
      <c r="Y32" s="80"/>
      <c r="Z32">
        <f t="shared" si="3"/>
        <v>5.7808456016956118</v>
      </c>
      <c r="AA32" s="80">
        <f t="shared" si="6"/>
        <v>20.819149244466125</v>
      </c>
      <c r="AB32" s="80">
        <v>24.31118202209473</v>
      </c>
    </row>
    <row r="33" spans="1:28" ht="17" x14ac:dyDescent="0.2">
      <c r="A33" s="69" t="s">
        <v>40</v>
      </c>
      <c r="B33" s="70">
        <v>0</v>
      </c>
      <c r="C33" s="71">
        <v>6</v>
      </c>
      <c r="D33" s="71">
        <v>0</v>
      </c>
      <c r="E33" s="72">
        <v>0</v>
      </c>
      <c r="F33" s="71">
        <v>0</v>
      </c>
      <c r="G33" s="71">
        <v>0</v>
      </c>
      <c r="H33" s="74">
        <v>0</v>
      </c>
      <c r="I33" s="74">
        <f t="shared" si="5"/>
        <v>6</v>
      </c>
      <c r="J33" s="80">
        <v>1.472222222222222E-3</v>
      </c>
      <c r="K33" s="80">
        <v>1.3611111111111115E-3</v>
      </c>
      <c r="L33" s="138"/>
      <c r="M33" s="138"/>
      <c r="N33" s="138"/>
      <c r="O33" s="83">
        <v>1.3333333333333253E-3</v>
      </c>
      <c r="R33" s="80">
        <f t="shared" si="0"/>
        <v>0.11121136454245963</v>
      </c>
      <c r="S33" s="80">
        <f t="shared" si="1"/>
        <v>9.9268653390328421E-2</v>
      </c>
      <c r="T33" s="138"/>
      <c r="U33" s="138"/>
      <c r="V33" s="138"/>
      <c r="W33" s="80">
        <f t="shared" si="2"/>
        <v>9.9099843091914511E-2</v>
      </c>
      <c r="X33" s="80"/>
      <c r="Y33" s="80"/>
      <c r="Z33">
        <f t="shared" si="3"/>
        <v>6.9443718029675435E-3</v>
      </c>
      <c r="AA33" s="80">
        <f t="shared" si="6"/>
        <v>0.10319328700823417</v>
      </c>
      <c r="AB33" s="80">
        <v>13.96044445037842</v>
      </c>
    </row>
    <row r="34" spans="1:28" ht="17" x14ac:dyDescent="0.2">
      <c r="A34" s="69" t="s">
        <v>48</v>
      </c>
      <c r="B34" s="70">
        <v>2.5</v>
      </c>
      <c r="C34" s="71">
        <v>0</v>
      </c>
      <c r="D34" s="71">
        <v>0</v>
      </c>
      <c r="E34" s="72">
        <v>0</v>
      </c>
      <c r="F34" s="71">
        <v>0</v>
      </c>
      <c r="G34" s="71">
        <v>0</v>
      </c>
      <c r="H34" s="74">
        <v>3.5</v>
      </c>
      <c r="I34" s="74">
        <f t="shared" si="5"/>
        <v>6</v>
      </c>
      <c r="J34" s="80">
        <v>0.25747222222222221</v>
      </c>
      <c r="K34" s="80">
        <v>0.23236111111111113</v>
      </c>
      <c r="L34" s="138"/>
      <c r="M34" s="138"/>
      <c r="N34" s="138"/>
      <c r="O34" s="83">
        <v>0.17833333333333334</v>
      </c>
      <c r="R34" s="80">
        <f t="shared" si="0"/>
        <v>19.449398829133177</v>
      </c>
      <c r="S34" s="80">
        <f t="shared" si="1"/>
        <v>16.94657725734892</v>
      </c>
      <c r="T34" s="138"/>
      <c r="U34" s="138"/>
      <c r="V34" s="138"/>
      <c r="W34" s="80">
        <f t="shared" si="2"/>
        <v>13.254604013543647</v>
      </c>
      <c r="X34" s="80"/>
      <c r="Y34" s="80"/>
      <c r="Z34">
        <f t="shared" si="3"/>
        <v>3.116361795973464</v>
      </c>
      <c r="AA34" s="80">
        <f t="shared" si="6"/>
        <v>16.550193366675249</v>
      </c>
      <c r="AB34" s="80">
        <v>13.609052658081049</v>
      </c>
    </row>
    <row r="35" spans="1:28" ht="17" x14ac:dyDescent="0.2">
      <c r="A35" s="69" t="s">
        <v>8</v>
      </c>
      <c r="B35" s="75">
        <v>0</v>
      </c>
      <c r="C35" s="76">
        <v>1.5</v>
      </c>
      <c r="D35" s="76">
        <v>2</v>
      </c>
      <c r="E35" s="77">
        <v>0</v>
      </c>
      <c r="F35" s="77">
        <v>0</v>
      </c>
      <c r="G35" s="76">
        <v>0</v>
      </c>
      <c r="H35" s="78">
        <v>2.5</v>
      </c>
      <c r="I35" s="74">
        <f t="shared" si="5"/>
        <v>6</v>
      </c>
      <c r="J35" s="80">
        <v>0.23747222222222225</v>
      </c>
      <c r="K35" s="80">
        <v>0.18836111111111112</v>
      </c>
      <c r="L35" s="138"/>
      <c r="M35" s="138"/>
      <c r="N35" s="138"/>
      <c r="O35" s="83">
        <v>0.30133333333333329</v>
      </c>
      <c r="R35" s="80">
        <f t="shared" si="0"/>
        <v>17.938602933462029</v>
      </c>
      <c r="S35" s="80">
        <f t="shared" si="1"/>
        <v>13.737566094690139</v>
      </c>
      <c r="T35" s="138"/>
      <c r="U35" s="138"/>
      <c r="V35" s="138"/>
      <c r="W35" s="80">
        <f t="shared" si="2"/>
        <v>22.396564538772807</v>
      </c>
      <c r="X35" s="80"/>
      <c r="Y35" s="80"/>
      <c r="Z35">
        <f t="shared" si="3"/>
        <v>4.3301344522960941</v>
      </c>
      <c r="AA35" s="80">
        <f t="shared" si="6"/>
        <v>18.024244522308326</v>
      </c>
      <c r="AB35" s="80">
        <v>9.2796459197998047</v>
      </c>
    </row>
    <row r="36" spans="1:28" ht="17" x14ac:dyDescent="0.2">
      <c r="A36" s="69" t="s">
        <v>17</v>
      </c>
      <c r="B36" s="75">
        <v>0</v>
      </c>
      <c r="C36" s="76">
        <v>3</v>
      </c>
      <c r="D36" s="76">
        <v>0</v>
      </c>
      <c r="E36" s="77">
        <v>0</v>
      </c>
      <c r="F36" s="77">
        <v>2.5</v>
      </c>
      <c r="G36" s="76">
        <v>0</v>
      </c>
      <c r="H36" s="78">
        <v>0.5</v>
      </c>
      <c r="I36" s="74">
        <f t="shared" si="5"/>
        <v>6</v>
      </c>
      <c r="J36" s="80">
        <v>9.8472222222222211E-2</v>
      </c>
      <c r="K36" s="80">
        <v>0.11536111111111111</v>
      </c>
      <c r="L36" s="138"/>
      <c r="M36" s="138"/>
      <c r="N36" s="138"/>
      <c r="O36" s="83">
        <v>0.10133333333333332</v>
      </c>
      <c r="R36" s="80">
        <f t="shared" si="0"/>
        <v>7.4385714585475355</v>
      </c>
      <c r="S36" s="80">
        <f t="shared" si="1"/>
        <v>8.4135248475517113</v>
      </c>
      <c r="T36" s="138"/>
      <c r="U36" s="138"/>
      <c r="V36" s="138"/>
      <c r="W36" s="80">
        <f t="shared" si="2"/>
        <v>7.5315880749855468</v>
      </c>
      <c r="X36" s="80"/>
      <c r="Y36" s="80"/>
      <c r="Z36">
        <f t="shared" si="3"/>
        <v>0.53805183648491317</v>
      </c>
      <c r="AA36" s="80">
        <f t="shared" si="6"/>
        <v>7.7945614603615985</v>
      </c>
      <c r="AB36" s="80">
        <v>8.2998552322387695</v>
      </c>
    </row>
    <row r="37" spans="1:28" ht="17" x14ac:dyDescent="0.2">
      <c r="A37" s="69" t="s">
        <v>25</v>
      </c>
      <c r="B37" s="75">
        <v>0</v>
      </c>
      <c r="C37" s="76">
        <v>0</v>
      </c>
      <c r="D37" s="76">
        <v>4.5</v>
      </c>
      <c r="E37" s="77">
        <v>0</v>
      </c>
      <c r="F37" s="76">
        <v>0</v>
      </c>
      <c r="G37" s="76">
        <v>1.5</v>
      </c>
      <c r="H37" s="78">
        <v>0</v>
      </c>
      <c r="I37" s="74">
        <f t="shared" si="5"/>
        <v>6</v>
      </c>
      <c r="J37" s="80">
        <v>0.52947222222222212</v>
      </c>
      <c r="K37" s="80">
        <v>0.60836111111111113</v>
      </c>
      <c r="L37" s="138"/>
      <c r="M37" s="138"/>
      <c r="N37" s="138"/>
      <c r="O37" s="83">
        <v>0.59233333333333338</v>
      </c>
      <c r="R37" s="80">
        <f t="shared" si="0"/>
        <v>39.996223010260813</v>
      </c>
      <c r="S37" s="80">
        <f t="shared" si="1"/>
        <v>44.369036283705761</v>
      </c>
      <c r="T37" s="138"/>
      <c r="U37" s="138"/>
      <c r="V37" s="138"/>
      <c r="W37" s="80">
        <f t="shared" si="2"/>
        <v>44.025105293583287</v>
      </c>
      <c r="X37" s="80"/>
      <c r="Y37" s="80"/>
      <c r="Z37">
        <f t="shared" si="3"/>
        <v>2.4314493929634047</v>
      </c>
      <c r="AA37" s="80">
        <f t="shared" si="6"/>
        <v>42.796788195849956</v>
      </c>
      <c r="AB37" s="80">
        <v>62.17919921875</v>
      </c>
    </row>
    <row r="38" spans="1:28" ht="17" x14ac:dyDescent="0.2">
      <c r="A38" s="69" t="s">
        <v>33</v>
      </c>
      <c r="B38" s="75">
        <v>0</v>
      </c>
      <c r="C38" s="76">
        <v>0</v>
      </c>
      <c r="D38" s="76">
        <v>3.5</v>
      </c>
      <c r="E38" s="77">
        <v>0.5</v>
      </c>
      <c r="F38" s="76">
        <v>0</v>
      </c>
      <c r="G38" s="76">
        <v>0</v>
      </c>
      <c r="H38" s="78">
        <v>2</v>
      </c>
      <c r="I38" s="74">
        <f>SUM(B38:H38)</f>
        <v>6</v>
      </c>
      <c r="J38" s="80">
        <v>0.47047222222222224</v>
      </c>
      <c r="K38" s="80">
        <v>0.48736111111111113</v>
      </c>
      <c r="L38" s="138"/>
      <c r="M38" s="138"/>
      <c r="N38" s="138"/>
      <c r="O38" s="83">
        <v>0.47033333333333333</v>
      </c>
      <c r="R38" s="80">
        <f t="shared" si="0"/>
        <v>35.539375118030925</v>
      </c>
      <c r="S38" s="80">
        <f t="shared" si="1"/>
        <v>35.544255586394122</v>
      </c>
      <c r="T38" s="138"/>
      <c r="U38" s="138"/>
      <c r="V38" s="138"/>
      <c r="W38" s="80">
        <f t="shared" si="2"/>
        <v>34.957469650673048</v>
      </c>
      <c r="X38" s="80"/>
      <c r="Y38" s="80"/>
      <c r="Z38">
        <f t="shared" si="3"/>
        <v>0.33738097315262938</v>
      </c>
      <c r="AA38" s="80">
        <f t="shared" si="6"/>
        <v>35.347033451699367</v>
      </c>
      <c r="AB38" s="80">
        <v>54.604251861572273</v>
      </c>
    </row>
    <row r="39" spans="1:28" ht="17" x14ac:dyDescent="0.2">
      <c r="A39" s="69" t="s">
        <v>41</v>
      </c>
      <c r="B39" s="75">
        <v>3.5</v>
      </c>
      <c r="C39" s="76">
        <v>0</v>
      </c>
      <c r="D39" s="76">
        <v>2</v>
      </c>
      <c r="E39" s="77">
        <v>0</v>
      </c>
      <c r="F39" s="77">
        <v>0</v>
      </c>
      <c r="G39" s="76">
        <v>0.5</v>
      </c>
      <c r="H39" s="78">
        <v>0</v>
      </c>
      <c r="I39" s="74">
        <f t="shared" si="5"/>
        <v>6</v>
      </c>
      <c r="J39" s="80">
        <v>0.81447222222222226</v>
      </c>
      <c r="K39" s="80">
        <v>0.77236111111111105</v>
      </c>
      <c r="L39" s="138"/>
      <c r="M39" s="138"/>
      <c r="N39" s="138"/>
      <c r="O39" s="83">
        <v>0.7453333333333334</v>
      </c>
      <c r="R39" s="80">
        <f t="shared" si="0"/>
        <v>61.525064523574713</v>
      </c>
      <c r="S39" s="80">
        <f t="shared" si="1"/>
        <v>56.32989607179757</v>
      </c>
      <c r="T39" s="138"/>
      <c r="U39" s="138"/>
      <c r="V39" s="138"/>
      <c r="W39" s="80">
        <f t="shared" si="2"/>
        <v>55.396812288380545</v>
      </c>
      <c r="X39" s="80"/>
      <c r="Y39" s="80"/>
      <c r="Z39">
        <f t="shared" si="3"/>
        <v>3.3019160106262206</v>
      </c>
      <c r="AA39" s="80">
        <f t="shared" si="6"/>
        <v>57.750590961250943</v>
      </c>
      <c r="AB39" s="80">
        <v>62.886024475097663</v>
      </c>
    </row>
    <row r="40" spans="1:28" ht="17" x14ac:dyDescent="0.2">
      <c r="A40" s="69" t="s">
        <v>49</v>
      </c>
      <c r="B40" s="75">
        <v>0</v>
      </c>
      <c r="C40" s="76">
        <v>0</v>
      </c>
      <c r="D40" s="76">
        <v>3.5</v>
      </c>
      <c r="E40" s="77">
        <v>2.5</v>
      </c>
      <c r="F40" s="76">
        <v>0</v>
      </c>
      <c r="G40" s="76">
        <v>0</v>
      </c>
      <c r="H40" s="78">
        <v>0</v>
      </c>
      <c r="I40" s="74">
        <f t="shared" si="5"/>
        <v>6</v>
      </c>
      <c r="J40" s="80">
        <v>0.35947222222222225</v>
      </c>
      <c r="K40" s="80">
        <v>0.34836111111111112</v>
      </c>
      <c r="L40" s="138"/>
      <c r="M40" s="138"/>
      <c r="N40" s="138"/>
      <c r="O40" s="83">
        <v>0.39633333333333332</v>
      </c>
      <c r="R40" s="80">
        <f t="shared" si="0"/>
        <v>27.154457897056044</v>
      </c>
      <c r="S40" s="80">
        <f t="shared" si="1"/>
        <v>25.40669759526752</v>
      </c>
      <c r="T40" s="138"/>
      <c r="U40" s="138"/>
      <c r="V40" s="138"/>
      <c r="W40" s="80">
        <f t="shared" si="2"/>
        <v>29.457428359071763</v>
      </c>
      <c r="X40" s="80"/>
      <c r="Y40" s="80"/>
      <c r="Z40">
        <f t="shared" si="3"/>
        <v>2.0316971043216925</v>
      </c>
      <c r="AA40" s="80">
        <f t="shared" si="6"/>
        <v>27.339527950465111</v>
      </c>
      <c r="AB40" s="80">
        <v>58.987751007080078</v>
      </c>
    </row>
    <row r="41" spans="1:28" ht="17" x14ac:dyDescent="0.2">
      <c r="A41" s="69" t="s">
        <v>9</v>
      </c>
      <c r="B41" s="70">
        <v>5.5</v>
      </c>
      <c r="C41" s="71">
        <v>0</v>
      </c>
      <c r="D41" s="71">
        <v>0.5</v>
      </c>
      <c r="E41" s="72">
        <v>0</v>
      </c>
      <c r="F41" s="71">
        <v>0</v>
      </c>
      <c r="G41" s="71">
        <v>0</v>
      </c>
      <c r="H41" s="74">
        <v>0</v>
      </c>
      <c r="I41" s="74">
        <f t="shared" si="5"/>
        <v>6</v>
      </c>
      <c r="J41" s="80">
        <v>0.10347222222222222</v>
      </c>
      <c r="K41" s="80">
        <v>6.0361111111111108E-2</v>
      </c>
      <c r="L41" s="138"/>
      <c r="M41" s="138"/>
      <c r="N41" s="138"/>
      <c r="O41" s="83">
        <v>8.6333333333333331E-2</v>
      </c>
      <c r="R41" s="80">
        <f t="shared" si="0"/>
        <v>7.8162704324653234</v>
      </c>
      <c r="S41" s="80">
        <f t="shared" si="1"/>
        <v>4.4022608942282364</v>
      </c>
      <c r="T41" s="138"/>
      <c r="U41" s="138"/>
      <c r="V41" s="138"/>
      <c r="W41" s="80">
        <f t="shared" si="2"/>
        <v>6.4167148402015028</v>
      </c>
      <c r="X41" s="80"/>
      <c r="Y41" s="80"/>
      <c r="Z41">
        <f t="shared" si="3"/>
        <v>1.7162090822244433</v>
      </c>
      <c r="AA41" s="80">
        <f t="shared" si="6"/>
        <v>6.2117487222983536</v>
      </c>
      <c r="AB41" s="80">
        <v>30.8187141418457</v>
      </c>
    </row>
    <row r="42" spans="1:28" ht="17" x14ac:dyDescent="0.2">
      <c r="A42" s="69" t="s">
        <v>18</v>
      </c>
      <c r="B42" s="70">
        <v>3</v>
      </c>
      <c r="C42" s="71">
        <v>0</v>
      </c>
      <c r="D42" s="71">
        <v>0</v>
      </c>
      <c r="E42" s="72">
        <v>0</v>
      </c>
      <c r="F42" s="71">
        <v>0</v>
      </c>
      <c r="G42" s="71">
        <v>0</v>
      </c>
      <c r="H42" s="74">
        <v>2.5</v>
      </c>
      <c r="I42" s="74">
        <f t="shared" si="5"/>
        <v>5.5</v>
      </c>
      <c r="J42" s="80">
        <v>0.35747222222222225</v>
      </c>
      <c r="K42" s="80">
        <v>0.31136111111111109</v>
      </c>
      <c r="L42" s="138"/>
      <c r="M42" s="138"/>
      <c r="N42" s="138"/>
      <c r="O42" s="83">
        <v>0.3773333333333333</v>
      </c>
      <c r="R42" s="80">
        <f t="shared" si="0"/>
        <v>27.00337830748893</v>
      </c>
      <c r="S42" s="80">
        <f t="shared" si="1"/>
        <v>22.708210935758999</v>
      </c>
      <c r="T42" s="138"/>
      <c r="U42" s="138"/>
      <c r="V42" s="138"/>
      <c r="W42" s="80">
        <f t="shared" si="2"/>
        <v>28.04525559501197</v>
      </c>
      <c r="X42" s="80"/>
      <c r="Y42" s="80"/>
      <c r="Z42">
        <f t="shared" si="3"/>
        <v>2.8289578978925092</v>
      </c>
      <c r="AA42" s="80">
        <f t="shared" si="6"/>
        <v>25.918948279419965</v>
      </c>
      <c r="AB42" s="80">
        <v>29.975961685180661</v>
      </c>
    </row>
    <row r="43" spans="1:28" ht="17" x14ac:dyDescent="0.2">
      <c r="A43" s="69" t="s">
        <v>26</v>
      </c>
      <c r="B43" s="70">
        <v>3</v>
      </c>
      <c r="C43" s="71">
        <v>2.5</v>
      </c>
      <c r="D43" s="71">
        <v>0.5</v>
      </c>
      <c r="E43" s="72">
        <v>0</v>
      </c>
      <c r="F43" s="71">
        <v>0</v>
      </c>
      <c r="G43" s="71">
        <v>0</v>
      </c>
      <c r="H43" s="74">
        <v>0</v>
      </c>
      <c r="I43" s="74">
        <f t="shared" si="5"/>
        <v>6</v>
      </c>
      <c r="J43" s="80">
        <v>0.3054722222222222</v>
      </c>
      <c r="K43" s="80">
        <v>0.29536111111111113</v>
      </c>
      <c r="L43" s="138"/>
      <c r="M43" s="138"/>
      <c r="N43" s="138"/>
      <c r="O43" s="83">
        <v>0.33433333333333332</v>
      </c>
      <c r="R43" s="80">
        <f t="shared" si="0"/>
        <v>23.075308978743937</v>
      </c>
      <c r="S43" s="80">
        <f t="shared" si="1"/>
        <v>21.541297785701264</v>
      </c>
      <c r="T43" s="138"/>
      <c r="U43" s="138"/>
      <c r="V43" s="138"/>
      <c r="W43" s="80">
        <f t="shared" si="2"/>
        <v>24.849285655297713</v>
      </c>
      <c r="X43" s="80"/>
      <c r="Y43" s="80"/>
      <c r="Z43">
        <f t="shared" si="3"/>
        <v>1.6554439150237135</v>
      </c>
      <c r="AA43" s="80">
        <f t="shared" si="6"/>
        <v>23.155297473247639</v>
      </c>
      <c r="AB43" s="80">
        <v>32.904003143310547</v>
      </c>
    </row>
    <row r="44" spans="1:28" ht="17" x14ac:dyDescent="0.2">
      <c r="A44" s="69" t="s">
        <v>34</v>
      </c>
      <c r="B44" s="70">
        <v>0</v>
      </c>
      <c r="C44" s="71">
        <v>0</v>
      </c>
      <c r="D44" s="71">
        <v>0</v>
      </c>
      <c r="E44" s="72">
        <v>0.5</v>
      </c>
      <c r="F44" s="71">
        <v>5.5</v>
      </c>
      <c r="G44" s="71">
        <v>0</v>
      </c>
      <c r="H44" s="74">
        <v>0</v>
      </c>
      <c r="I44" s="74">
        <f t="shared" si="5"/>
        <v>6</v>
      </c>
      <c r="J44" s="80">
        <v>0.20847222222222223</v>
      </c>
      <c r="K44" s="80">
        <v>0.30436111111111108</v>
      </c>
      <c r="L44" s="138"/>
      <c r="M44" s="138"/>
      <c r="N44" s="138"/>
      <c r="O44" s="83">
        <v>0.15433333333333332</v>
      </c>
      <c r="R44" s="80">
        <f t="shared" si="0"/>
        <v>15.747948884738863</v>
      </c>
      <c r="S44" s="80">
        <f t="shared" si="1"/>
        <v>22.197686432608737</v>
      </c>
      <c r="T44" s="138"/>
      <c r="U44" s="138"/>
      <c r="V44" s="138"/>
      <c r="W44" s="80">
        <f t="shared" si="2"/>
        <v>11.470806837889173</v>
      </c>
      <c r="X44" s="80"/>
      <c r="Y44" s="80"/>
      <c r="Z44">
        <f t="shared" si="3"/>
        <v>5.3999846352396101</v>
      </c>
      <c r="AA44" s="80">
        <f>AVERAGE(R44:Y44)</f>
        <v>16.472147385078923</v>
      </c>
      <c r="AB44" s="80">
        <v>30.81153678894043</v>
      </c>
    </row>
    <row r="45" spans="1:28" ht="17" x14ac:dyDescent="0.2">
      <c r="A45" s="69" t="s">
        <v>42</v>
      </c>
      <c r="B45" s="70">
        <v>0</v>
      </c>
      <c r="C45" s="71">
        <v>0</v>
      </c>
      <c r="D45" s="71">
        <v>5.5</v>
      </c>
      <c r="E45" s="72">
        <v>0</v>
      </c>
      <c r="F45" s="71">
        <v>0</v>
      </c>
      <c r="G45" s="71">
        <v>0</v>
      </c>
      <c r="H45" s="74">
        <v>0</v>
      </c>
      <c r="I45" s="81">
        <f t="shared" si="5"/>
        <v>5.5</v>
      </c>
      <c r="J45" s="80">
        <v>0.99847222222222221</v>
      </c>
      <c r="K45" s="80">
        <v>1.0813611111111112</v>
      </c>
      <c r="L45" s="138"/>
      <c r="M45" s="138"/>
      <c r="N45" s="138"/>
      <c r="O45" s="83">
        <v>0.89533333333333331</v>
      </c>
      <c r="R45" s="80">
        <f t="shared" si="0"/>
        <v>75.424386763749283</v>
      </c>
      <c r="S45" s="80">
        <f t="shared" si="1"/>
        <v>78.865906282287639</v>
      </c>
      <c r="T45" s="138"/>
      <c r="U45" s="138"/>
      <c r="V45" s="138"/>
      <c r="W45" s="80">
        <f t="shared" si="2"/>
        <v>66.545544636220981</v>
      </c>
      <c r="X45" s="80"/>
      <c r="Y45" s="80"/>
      <c r="Z45">
        <f t="shared" si="3"/>
        <v>6.3570067014269398</v>
      </c>
      <c r="AA45" s="80">
        <f t="shared" si="6"/>
        <v>73.611945894085977</v>
      </c>
      <c r="AB45" s="80">
        <v>83.634742736816406</v>
      </c>
    </row>
    <row r="46" spans="1:28" ht="17" x14ac:dyDescent="0.2">
      <c r="A46" s="69" t="s">
        <v>50</v>
      </c>
      <c r="B46" s="70">
        <v>3</v>
      </c>
      <c r="C46" s="71">
        <v>0</v>
      </c>
      <c r="D46" s="71">
        <v>2</v>
      </c>
      <c r="E46" s="71">
        <v>0.5</v>
      </c>
      <c r="F46" s="71">
        <v>0</v>
      </c>
      <c r="G46" s="71">
        <v>0</v>
      </c>
      <c r="H46" s="74">
        <v>0</v>
      </c>
      <c r="I46" s="81">
        <f t="shared" si="5"/>
        <v>5.5</v>
      </c>
      <c r="J46" s="80">
        <v>0.90447222222222212</v>
      </c>
      <c r="K46" s="80">
        <v>0.87636111111111115</v>
      </c>
      <c r="L46" s="138"/>
      <c r="M46" s="138"/>
      <c r="N46" s="138"/>
      <c r="O46" s="83">
        <v>0.7413333333333334</v>
      </c>
      <c r="R46" s="80">
        <f t="shared" si="0"/>
        <v>68.32364605409488</v>
      </c>
      <c r="S46" s="80">
        <f t="shared" si="1"/>
        <v>63.914831547172867</v>
      </c>
      <c r="T46" s="138"/>
      <c r="U46" s="138"/>
      <c r="V46" s="138"/>
      <c r="W46" s="80">
        <f t="shared" si="2"/>
        <v>55.099512759104805</v>
      </c>
      <c r="X46" s="80"/>
      <c r="Y46" s="80"/>
      <c r="Z46">
        <f t="shared" si="3"/>
        <v>6.7333150836639257</v>
      </c>
      <c r="AA46" s="80">
        <f t="shared" si="6"/>
        <v>62.44599678679085</v>
      </c>
      <c r="AB46" s="80">
        <v>77.670196533203125</v>
      </c>
    </row>
    <row r="47" spans="1:28" ht="17" x14ac:dyDescent="0.2">
      <c r="A47" s="69" t="s">
        <v>114</v>
      </c>
      <c r="B47" s="70">
        <v>1</v>
      </c>
      <c r="C47" s="71">
        <v>0</v>
      </c>
      <c r="D47" s="71">
        <v>3.5</v>
      </c>
      <c r="E47" s="72">
        <v>1</v>
      </c>
      <c r="F47" s="71">
        <v>0</v>
      </c>
      <c r="G47" s="71">
        <v>0</v>
      </c>
      <c r="H47" s="73">
        <v>0</v>
      </c>
      <c r="I47" s="74">
        <f>SUM(B47:H47)</f>
        <v>5.5</v>
      </c>
      <c r="J47" s="80"/>
      <c r="K47" s="80"/>
      <c r="L47" s="80">
        <v>0.79516666666666658</v>
      </c>
      <c r="M47" s="80">
        <v>0.76716666666666677</v>
      </c>
      <c r="N47" s="80">
        <v>0.77016666666666667</v>
      </c>
      <c r="O47" s="80"/>
      <c r="R47" s="80"/>
      <c r="S47" s="80"/>
      <c r="T47" s="80">
        <f>(L47/$F$78)*100</f>
        <v>58.029596594364484</v>
      </c>
      <c r="U47" s="80">
        <f>(M47/$F$78)*100</f>
        <v>55.986215284816552</v>
      </c>
      <c r="V47" s="80">
        <f>(N47/$F$78)*100</f>
        <v>56.205148996553824</v>
      </c>
      <c r="W47" s="80"/>
      <c r="X47" s="80"/>
      <c r="Y47" s="80"/>
      <c r="Z47">
        <f>STDEV(R47:Y47)</f>
        <v>1.12189929609732</v>
      </c>
      <c r="AA47" s="80">
        <f t="shared" si="6"/>
        <v>56.740320291911615</v>
      </c>
      <c r="AB47" s="80">
        <v>78.718910217285156</v>
      </c>
    </row>
    <row r="48" spans="1:28" ht="17" x14ac:dyDescent="0.2">
      <c r="A48" s="69" t="s">
        <v>115</v>
      </c>
      <c r="B48" s="70">
        <v>2.5</v>
      </c>
      <c r="C48" s="71">
        <v>0</v>
      </c>
      <c r="D48" s="71">
        <v>3.5</v>
      </c>
      <c r="E48" s="71">
        <v>0</v>
      </c>
      <c r="F48" s="71">
        <v>0</v>
      </c>
      <c r="G48" s="71">
        <v>0</v>
      </c>
      <c r="H48" s="73">
        <v>0</v>
      </c>
      <c r="I48" s="74">
        <f>SUM(B48:H48)</f>
        <v>6</v>
      </c>
      <c r="J48" s="80"/>
      <c r="K48" s="80"/>
      <c r="L48" s="80">
        <v>0.77316666666666656</v>
      </c>
      <c r="M48" s="80">
        <v>0.83316666666666661</v>
      </c>
      <c r="N48" s="80">
        <v>0.71216666666666661</v>
      </c>
      <c r="O48" s="80"/>
      <c r="R48" s="80"/>
      <c r="S48" s="80"/>
      <c r="T48" s="80">
        <f t="shared" ref="T48:T50" si="7">(L48/$F$78)*100</f>
        <v>56.424082708291103</v>
      </c>
      <c r="U48" s="80">
        <f>(M48/$F$78)*100</f>
        <v>60.802756943036698</v>
      </c>
      <c r="V48" s="80">
        <f t="shared" ref="V48:V50" si="8">(N48/$F$78)*100</f>
        <v>51.972430569633076</v>
      </c>
      <c r="W48" s="80"/>
      <c r="X48" s="80"/>
      <c r="Y48" s="80"/>
      <c r="Z48">
        <f t="shared" ref="Z48:Z50" si="9">STDEV(R48:Y48)</f>
        <v>4.4152134466801467</v>
      </c>
      <c r="AA48" s="80">
        <f t="shared" si="6"/>
        <v>56.399756740320292</v>
      </c>
      <c r="AB48" s="80">
        <v>77.787338256835938</v>
      </c>
    </row>
    <row r="49" spans="1:28" ht="17" x14ac:dyDescent="0.2">
      <c r="A49" s="69" t="s">
        <v>116</v>
      </c>
      <c r="B49" s="70">
        <v>0</v>
      </c>
      <c r="C49" s="71">
        <v>0</v>
      </c>
      <c r="D49" s="71">
        <v>4.5</v>
      </c>
      <c r="E49" s="71">
        <v>0</v>
      </c>
      <c r="F49" s="71">
        <v>1</v>
      </c>
      <c r="G49" s="71">
        <v>0</v>
      </c>
      <c r="H49" s="73">
        <v>0</v>
      </c>
      <c r="I49" s="74">
        <f t="shared" ref="I49:I50" si="10">SUM(B49:H49)</f>
        <v>5.5</v>
      </c>
      <c r="J49" s="80"/>
      <c r="K49" s="80"/>
      <c r="L49" s="80">
        <v>0.94916666666666671</v>
      </c>
      <c r="M49" s="80">
        <v>0.92816666666666658</v>
      </c>
      <c r="N49" s="80">
        <v>0.84116666666666662</v>
      </c>
      <c r="O49" s="80"/>
      <c r="R49" s="80"/>
      <c r="S49" s="80"/>
      <c r="T49" s="80">
        <f t="shared" si="7"/>
        <v>69.26819379687818</v>
      </c>
      <c r="U49" s="80">
        <f t="shared" ref="U49:U50" si="11">(M49/$F$78)*100</f>
        <v>67.735657814717214</v>
      </c>
      <c r="V49" s="80">
        <f t="shared" si="8"/>
        <v>61.386580174336103</v>
      </c>
      <c r="W49" s="80"/>
      <c r="X49" s="80"/>
      <c r="Y49" s="80"/>
      <c r="Z49">
        <f t="shared" si="9"/>
        <v>4.1789011058579799</v>
      </c>
      <c r="AA49" s="80">
        <f>AVERAGE(R49:Y49)</f>
        <v>66.130143928643832</v>
      </c>
      <c r="AB49" s="80">
        <v>78.200279235839844</v>
      </c>
    </row>
    <row r="50" spans="1:28" ht="17" x14ac:dyDescent="0.2">
      <c r="A50" s="69" t="s">
        <v>117</v>
      </c>
      <c r="B50" s="70">
        <v>1.5</v>
      </c>
      <c r="C50" s="71">
        <v>0</v>
      </c>
      <c r="D50" s="71">
        <v>4.5</v>
      </c>
      <c r="E50" s="71">
        <v>0</v>
      </c>
      <c r="F50" s="71">
        <v>0</v>
      </c>
      <c r="G50" s="71">
        <v>0</v>
      </c>
      <c r="H50" s="73">
        <v>0</v>
      </c>
      <c r="I50" s="74">
        <f t="shared" si="10"/>
        <v>6</v>
      </c>
      <c r="J50" s="80"/>
      <c r="K50" s="80"/>
      <c r="L50" s="80">
        <v>0.90016666666666656</v>
      </c>
      <c r="M50" s="80">
        <v>1.0111666666666665</v>
      </c>
      <c r="N50" s="80">
        <v>0.91316666666666668</v>
      </c>
      <c r="O50" s="80"/>
      <c r="R50" s="80"/>
      <c r="S50" s="80"/>
      <c r="T50" s="80">
        <f t="shared" si="7"/>
        <v>65.692276505169261</v>
      </c>
      <c r="U50" s="80">
        <f t="shared" si="11"/>
        <v>73.792823839448602</v>
      </c>
      <c r="V50" s="80">
        <f t="shared" si="8"/>
        <v>66.640989256030821</v>
      </c>
      <c r="W50" s="80"/>
      <c r="X50" s="80"/>
      <c r="Y50" s="80"/>
      <c r="Z50">
        <f t="shared" si="9"/>
        <v>4.428462127855787</v>
      </c>
      <c r="AA50" s="80">
        <f>AVERAGE(R50:Y50)</f>
        <v>68.708696533549571</v>
      </c>
      <c r="AB50" s="80">
        <v>78.288116455078125</v>
      </c>
    </row>
    <row r="51" spans="1:28" x14ac:dyDescent="0.2">
      <c r="A51" s="85" t="s">
        <v>122</v>
      </c>
      <c r="B51" s="86"/>
      <c r="C51" s="86"/>
      <c r="D51" s="86"/>
      <c r="E51" s="86"/>
      <c r="F51" s="86"/>
      <c r="G51" s="86"/>
      <c r="H51" s="86"/>
      <c r="I51" s="87"/>
      <c r="J51" s="88">
        <f>B78</f>
        <v>1.3238055555555557</v>
      </c>
      <c r="K51" s="88">
        <f>D78</f>
        <v>1.3711388888888889</v>
      </c>
      <c r="L51" s="165">
        <f>F78</f>
        <v>1.3702777777777777</v>
      </c>
      <c r="M51" s="165"/>
      <c r="N51" s="165"/>
      <c r="O51" s="88">
        <f>H78</f>
        <v>1.3454444444444444</v>
      </c>
      <c r="T51" t="s">
        <v>119</v>
      </c>
    </row>
    <row r="52" spans="1:28" x14ac:dyDescent="0.2">
      <c r="A52" s="89" t="s">
        <v>123</v>
      </c>
      <c r="B52" s="90"/>
      <c r="C52" s="90"/>
      <c r="D52" s="90"/>
      <c r="E52" s="90"/>
      <c r="F52" s="90"/>
      <c r="G52" s="90"/>
      <c r="H52" s="90"/>
      <c r="I52" s="91"/>
      <c r="J52" s="88">
        <f>B79</f>
        <v>9.2349878180753422E-2</v>
      </c>
      <c r="K52" s="88">
        <f>D79</f>
        <v>0.11486271999410622</v>
      </c>
      <c r="L52" s="165">
        <f>F79</f>
        <v>0.10554672477680727</v>
      </c>
      <c r="M52" s="165"/>
      <c r="N52" s="165"/>
      <c r="O52" s="88">
        <f>H79</f>
        <v>0.10447540912153018</v>
      </c>
      <c r="S52" t="s">
        <v>88</v>
      </c>
      <c r="T52" s="84">
        <v>80</v>
      </c>
    </row>
    <row r="53" spans="1:28" x14ac:dyDescent="0.2">
      <c r="A53" s="92" t="s">
        <v>124</v>
      </c>
      <c r="B53" s="93"/>
      <c r="C53" s="93"/>
      <c r="D53" s="93"/>
      <c r="E53" s="93"/>
      <c r="F53" s="93"/>
      <c r="G53" s="93"/>
      <c r="H53" s="93"/>
      <c r="I53" s="94"/>
      <c r="J53" s="95">
        <f>B81</f>
        <v>1.6008551900978158</v>
      </c>
      <c r="K53" s="95">
        <f>D81</f>
        <v>1.7157270488712075</v>
      </c>
      <c r="L53" s="129">
        <f>F81</f>
        <v>1.6869179521081996</v>
      </c>
      <c r="M53" s="129"/>
      <c r="N53" s="129"/>
      <c r="O53" s="95">
        <f>H81</f>
        <v>1.6588706718090349</v>
      </c>
    </row>
    <row r="54" spans="1:28" x14ac:dyDescent="0.2">
      <c r="A54" s="92" t="s">
        <v>125</v>
      </c>
      <c r="B54" s="93"/>
      <c r="C54" s="93"/>
      <c r="D54" s="93"/>
      <c r="E54" s="93"/>
      <c r="F54" s="93"/>
      <c r="G54" s="93"/>
      <c r="H54" s="93"/>
      <c r="I54" s="94"/>
      <c r="J54" s="95">
        <f>B82</f>
        <v>1.0467559210132955</v>
      </c>
      <c r="K54" s="95">
        <f>D82</f>
        <v>1.0265507289065703</v>
      </c>
      <c r="L54" s="129">
        <f>F82</f>
        <v>1.0536376034473558</v>
      </c>
      <c r="M54" s="129"/>
      <c r="N54" s="129"/>
      <c r="O54" s="95">
        <f>H82</f>
        <v>1.032018217079854</v>
      </c>
    </row>
    <row r="55" spans="1:28" x14ac:dyDescent="0.2">
      <c r="A55" s="96" t="s">
        <v>94</v>
      </c>
      <c r="B55" s="97"/>
      <c r="C55" s="97"/>
      <c r="D55" s="97"/>
      <c r="E55" s="97"/>
      <c r="F55" s="97"/>
      <c r="G55" s="97"/>
      <c r="H55" s="97"/>
      <c r="I55" s="98"/>
      <c r="J55" s="99">
        <f>B83</f>
        <v>1.0590444444444445</v>
      </c>
      <c r="K55" s="99">
        <f>D83</f>
        <v>1.0969111111111112</v>
      </c>
      <c r="L55" s="130">
        <f>F83</f>
        <v>1.0962222222222222</v>
      </c>
      <c r="M55" s="130"/>
      <c r="N55" s="130"/>
      <c r="O55" s="99">
        <f>H83</f>
        <v>1.0763555555555555</v>
      </c>
    </row>
    <row r="56" spans="1:28" x14ac:dyDescent="0.2">
      <c r="A56" s="100" t="s">
        <v>126</v>
      </c>
      <c r="B56" s="101"/>
      <c r="C56" s="101"/>
      <c r="D56" s="101"/>
      <c r="E56" s="101"/>
      <c r="F56" s="101"/>
      <c r="G56" s="101"/>
      <c r="H56" s="101"/>
      <c r="I56" s="102"/>
      <c r="J56" s="103">
        <f>B84</f>
        <v>0.75746430535763132</v>
      </c>
      <c r="K56" s="103">
        <f>D84</f>
        <v>0.70254608519521233</v>
      </c>
      <c r="L56" s="131">
        <f>F84</f>
        <v>0.71474758810927375</v>
      </c>
      <c r="M56" s="131"/>
      <c r="N56" s="131"/>
      <c r="O56" s="103">
        <f>H84</f>
        <v>0.7127175603174154</v>
      </c>
    </row>
    <row r="57" spans="1:28" x14ac:dyDescent="0.2">
      <c r="A57" s="154" t="s">
        <v>127</v>
      </c>
      <c r="B57" s="155"/>
      <c r="C57" s="155"/>
      <c r="D57" s="155"/>
      <c r="E57" s="155"/>
      <c r="F57" s="155"/>
      <c r="G57" s="155"/>
      <c r="H57" s="155"/>
      <c r="I57" s="155"/>
      <c r="J57" s="104" t="s">
        <v>128</v>
      </c>
      <c r="K57" s="104" t="s">
        <v>128</v>
      </c>
      <c r="L57" s="132" t="s">
        <v>128</v>
      </c>
      <c r="M57" s="132"/>
      <c r="N57" s="132"/>
      <c r="O57" s="104" t="s">
        <v>128</v>
      </c>
    </row>
    <row r="59" spans="1:28" x14ac:dyDescent="0.2">
      <c r="A59" t="s">
        <v>129</v>
      </c>
    </row>
    <row r="60" spans="1:28" x14ac:dyDescent="0.2">
      <c r="A60" s="79" t="s">
        <v>130</v>
      </c>
      <c r="B60" s="79"/>
      <c r="C60" s="79"/>
      <c r="D60" s="79"/>
      <c r="E60" s="79"/>
      <c r="F60" s="79"/>
      <c r="G60" s="84">
        <v>3</v>
      </c>
    </row>
    <row r="61" spans="1:28" x14ac:dyDescent="0.2">
      <c r="A61" s="79" t="s">
        <v>131</v>
      </c>
      <c r="B61" s="79"/>
      <c r="C61" s="79"/>
      <c r="D61" s="79"/>
      <c r="E61" s="79"/>
      <c r="F61" s="79"/>
      <c r="G61" s="84">
        <v>20</v>
      </c>
    </row>
    <row r="62" spans="1:28" x14ac:dyDescent="0.2">
      <c r="A62" s="79"/>
      <c r="B62" s="79"/>
      <c r="C62" s="79"/>
      <c r="D62" s="79"/>
      <c r="E62" s="79"/>
      <c r="F62" s="79"/>
    </row>
    <row r="65" spans="1:26" x14ac:dyDescent="0.2">
      <c r="B65" s="156" t="s">
        <v>132</v>
      </c>
      <c r="C65" s="156"/>
      <c r="D65" s="156"/>
      <c r="E65" s="156"/>
      <c r="F65" s="156"/>
      <c r="G65" s="156"/>
      <c r="H65" s="156"/>
      <c r="I65" s="156"/>
      <c r="O65" s="157" t="s">
        <v>133</v>
      </c>
      <c r="P65" s="158"/>
      <c r="Q65" s="158"/>
      <c r="R65" s="158"/>
      <c r="S65" s="158"/>
      <c r="T65" s="158"/>
      <c r="U65" s="158"/>
      <c r="V65" s="159"/>
      <c r="Y65" s="105"/>
      <c r="Z65" s="105"/>
    </row>
    <row r="66" spans="1:26" ht="16" customHeight="1" x14ac:dyDescent="0.2">
      <c r="B66" s="147" t="s">
        <v>136</v>
      </c>
      <c r="C66" s="148"/>
      <c r="D66" s="148"/>
      <c r="E66" s="148"/>
      <c r="F66" s="148"/>
      <c r="G66" s="148"/>
      <c r="H66" s="148"/>
      <c r="I66" s="149"/>
      <c r="J66" s="64"/>
      <c r="K66" s="64"/>
      <c r="L66" s="64"/>
      <c r="O66" s="144" t="s">
        <v>134</v>
      </c>
      <c r="P66" s="145"/>
      <c r="Q66" s="145"/>
      <c r="R66" s="145"/>
      <c r="S66" s="145"/>
      <c r="T66" s="145"/>
      <c r="U66" s="145"/>
      <c r="V66" s="146"/>
    </row>
    <row r="67" spans="1:26" ht="16" customHeight="1" x14ac:dyDescent="0.2">
      <c r="B67" s="133" t="s">
        <v>59</v>
      </c>
      <c r="C67" s="134"/>
      <c r="D67" s="135" t="s">
        <v>111</v>
      </c>
      <c r="E67" s="136"/>
      <c r="F67" s="134" t="s">
        <v>112</v>
      </c>
      <c r="G67" s="134"/>
      <c r="H67" s="136" t="s">
        <v>113</v>
      </c>
      <c r="I67" s="136"/>
      <c r="O67" s="147" t="s">
        <v>136</v>
      </c>
      <c r="P67" s="148"/>
      <c r="Q67" s="148"/>
      <c r="R67" s="148"/>
      <c r="S67" s="148"/>
      <c r="T67" s="148"/>
      <c r="U67" s="148"/>
      <c r="V67" s="149"/>
    </row>
    <row r="68" spans="1:26" x14ac:dyDescent="0.2">
      <c r="B68" s="107" t="s">
        <v>90</v>
      </c>
      <c r="C68" s="107" t="s">
        <v>11</v>
      </c>
      <c r="D68" s="106" t="s">
        <v>90</v>
      </c>
      <c r="E68" s="106" t="s">
        <v>11</v>
      </c>
      <c r="F68" s="107" t="s">
        <v>90</v>
      </c>
      <c r="G68" s="107" t="s">
        <v>11</v>
      </c>
      <c r="H68" s="106" t="s">
        <v>90</v>
      </c>
      <c r="I68" s="106" t="s">
        <v>11</v>
      </c>
      <c r="O68" s="133" t="s">
        <v>59</v>
      </c>
      <c r="P68" s="134"/>
      <c r="Q68" s="135" t="s">
        <v>111</v>
      </c>
      <c r="R68" s="136"/>
      <c r="S68" s="134" t="s">
        <v>112</v>
      </c>
      <c r="T68" s="134"/>
      <c r="U68" s="136" t="s">
        <v>113</v>
      </c>
      <c r="V68" s="136"/>
    </row>
    <row r="69" spans="1:26" x14ac:dyDescent="0.2">
      <c r="B69" s="104">
        <v>1.3304722222222223</v>
      </c>
      <c r="C69" s="104">
        <v>3.2472222222222222E-2</v>
      </c>
      <c r="D69" s="108">
        <v>1.3963611111111112</v>
      </c>
      <c r="E69" s="108">
        <v>7.4361111111111128E-2</v>
      </c>
      <c r="F69" s="104">
        <v>1.3081666666666667</v>
      </c>
      <c r="G69" s="104">
        <v>6.016666666666666E-2</v>
      </c>
      <c r="H69" s="108">
        <v>1.4373333333333334</v>
      </c>
      <c r="I69" s="108">
        <v>8.6333333333333331E-2</v>
      </c>
      <c r="O69" s="107" t="s">
        <v>90</v>
      </c>
      <c r="P69" s="107" t="s">
        <v>11</v>
      </c>
      <c r="Q69" s="106" t="s">
        <v>90</v>
      </c>
      <c r="R69" s="106" t="s">
        <v>11</v>
      </c>
      <c r="S69" s="107" t="s">
        <v>90</v>
      </c>
      <c r="T69" s="107" t="s">
        <v>11</v>
      </c>
      <c r="U69" s="106" t="s">
        <v>90</v>
      </c>
      <c r="V69" s="106" t="s">
        <v>11</v>
      </c>
    </row>
    <row r="70" spans="1:26" x14ac:dyDescent="0.2">
      <c r="B70" s="104">
        <v>1.2844722222222222</v>
      </c>
      <c r="C70" s="104">
        <v>2.647222222222223E-2</v>
      </c>
      <c r="D70" s="108">
        <v>1.3713611111111113</v>
      </c>
      <c r="E70" s="108">
        <v>2.1361111111111115E-2</v>
      </c>
      <c r="F70" s="104">
        <v>1.2781666666666667</v>
      </c>
      <c r="G70" s="104">
        <v>4.9166666666666664E-2</v>
      </c>
      <c r="H70" s="108">
        <v>1.4203333333333334</v>
      </c>
      <c r="I70" s="108">
        <v>1.7333333333333326E-2</v>
      </c>
      <c r="O70" s="110">
        <f>B69/ $B$78*100</f>
        <v>100.50359863189038</v>
      </c>
      <c r="P70" s="110">
        <f>C69/ $B$78*100</f>
        <v>2.4529450028327422</v>
      </c>
      <c r="Q70" s="109">
        <f>D69/$D$78*100</f>
        <v>101.83950892404935</v>
      </c>
      <c r="R70" s="109">
        <f>E69/$D$78*100</f>
        <v>5.4233099005287588</v>
      </c>
      <c r="S70" s="110">
        <f>F69/$F$78*100</f>
        <v>95.467261301439294</v>
      </c>
      <c r="T70" s="110">
        <f>G69/$F$78*100</f>
        <v>4.3908372187309954</v>
      </c>
      <c r="U70" s="109">
        <f>H69/$H$78*100</f>
        <v>106.82963085308448</v>
      </c>
      <c r="V70" s="109">
        <f>I69/$H$78*100</f>
        <v>6.4167148402015028</v>
      </c>
    </row>
    <row r="71" spans="1:26" x14ac:dyDescent="0.2">
      <c r="B71" s="104">
        <v>1.4454722222222223</v>
      </c>
      <c r="C71" s="104">
        <v>2.0472222222222225E-2</v>
      </c>
      <c r="D71" s="108">
        <v>1.5313611111111112</v>
      </c>
      <c r="E71" s="108">
        <v>1.5361111111111117E-2</v>
      </c>
      <c r="F71" s="104">
        <v>1.5211666666666666</v>
      </c>
      <c r="G71" s="104">
        <v>4.7166666666666662E-2</v>
      </c>
      <c r="H71" s="108">
        <v>1.3403333333333334</v>
      </c>
      <c r="I71" s="108">
        <v>1.7333333333333326E-2</v>
      </c>
      <c r="O71" s="110">
        <f t="shared" ref="O71:O78" si="12">B70/ $B$78*100</f>
        <v>97.028768071846727</v>
      </c>
      <c r="P71" s="110">
        <f t="shared" ref="P71:P78" si="13">C70/ $B$78*100</f>
        <v>1.9997062341313976</v>
      </c>
      <c r="Q71" s="109">
        <f t="shared" ref="Q71:Q78" si="14">D70/$D$78*100</f>
        <v>100.01620712708414</v>
      </c>
      <c r="R71" s="109">
        <f t="shared" ref="R71:R78" si="15">E70/$D$78*100</f>
        <v>1.557910090962501</v>
      </c>
      <c r="S71" s="110">
        <f t="shared" ref="S71:S78" si="16">F70/$F$78*100</f>
        <v>93.277924184066492</v>
      </c>
      <c r="T71" s="110">
        <f t="shared" ref="T71:T78" si="17">G70/$F$78*100</f>
        <v>3.588080275694304</v>
      </c>
      <c r="U71" s="109">
        <f t="shared" ref="U71:U78" si="18">H70/$H$78*100</f>
        <v>105.56610785366259</v>
      </c>
      <c r="V71" s="109">
        <f t="shared" ref="V71:V78" si="19">I70/$H$78*100</f>
        <v>1.2882979601948958</v>
      </c>
    </row>
    <row r="72" spans="1:26" x14ac:dyDescent="0.2">
      <c r="B72" s="104">
        <v>1.2674722222222223</v>
      </c>
      <c r="C72" s="104">
        <v>3.2472222222222222E-2</v>
      </c>
      <c r="D72" s="108">
        <v>1.2193611111111111</v>
      </c>
      <c r="E72" s="108">
        <v>3.036111111111111E-2</v>
      </c>
      <c r="F72" s="104">
        <v>1.2051666666666667</v>
      </c>
      <c r="G72" s="104">
        <v>8.5166666666666668E-2</v>
      </c>
      <c r="H72" s="108">
        <v>1.3493333333333333</v>
      </c>
      <c r="I72" s="108">
        <v>3.7333333333333329E-2</v>
      </c>
      <c r="O72" s="110">
        <f t="shared" si="12"/>
        <v>109.19067503199949</v>
      </c>
      <c r="P72" s="110">
        <f t="shared" si="13"/>
        <v>1.5464674654300523</v>
      </c>
      <c r="Q72" s="109">
        <f t="shared" si="14"/>
        <v>111.68533862766152</v>
      </c>
      <c r="R72" s="109">
        <f t="shared" si="15"/>
        <v>1.1203176596908495</v>
      </c>
      <c r="S72" s="110">
        <f t="shared" si="16"/>
        <v>111.01155483478612</v>
      </c>
      <c r="T72" s="110">
        <f t="shared" si="17"/>
        <v>3.4421244678694505</v>
      </c>
      <c r="U72" s="109">
        <f t="shared" si="18"/>
        <v>99.620117268147652</v>
      </c>
      <c r="V72" s="109">
        <f t="shared" si="19"/>
        <v>1.2882979601948958</v>
      </c>
    </row>
    <row r="73" spans="1:26" x14ac:dyDescent="0.2">
      <c r="B73" s="104">
        <v>1.3444722222222223</v>
      </c>
      <c r="C73" s="104">
        <v>5.6472222222222229E-2</v>
      </c>
      <c r="D73" s="108">
        <v>1.3863611111111112</v>
      </c>
      <c r="E73" s="108">
        <v>3.9361111111111118E-2</v>
      </c>
      <c r="F73" s="104">
        <v>1.4111666666666667</v>
      </c>
      <c r="G73" s="104">
        <v>8.2166666666666666E-2</v>
      </c>
      <c r="H73" s="108">
        <v>1.4643333333333333</v>
      </c>
      <c r="I73" s="108">
        <v>3.5333333333333328E-2</v>
      </c>
      <c r="O73" s="110">
        <f t="shared" si="12"/>
        <v>95.74459156052626</v>
      </c>
      <c r="P73" s="110">
        <f t="shared" si="13"/>
        <v>2.4529450028327422</v>
      </c>
      <c r="Q73" s="109">
        <f t="shared" si="14"/>
        <v>88.930532201535627</v>
      </c>
      <c r="R73" s="109">
        <f t="shared" si="15"/>
        <v>2.2142987378699783</v>
      </c>
      <c r="S73" s="110">
        <f t="shared" si="16"/>
        <v>87.950537198459372</v>
      </c>
      <c r="T73" s="110">
        <f t="shared" si="17"/>
        <v>6.2152848165416588</v>
      </c>
      <c r="U73" s="109">
        <f t="shared" si="18"/>
        <v>100.28904120901807</v>
      </c>
      <c r="V73" s="109">
        <f t="shared" si="19"/>
        <v>2.7747956065736226</v>
      </c>
    </row>
    <row r="74" spans="1:26" x14ac:dyDescent="0.2">
      <c r="B74" s="104">
        <v>1.4704722222222222</v>
      </c>
      <c r="C74" s="104">
        <v>4.2472222222222231E-2</v>
      </c>
      <c r="D74" s="108">
        <v>1.4793611111111111</v>
      </c>
      <c r="E74" s="108">
        <v>2.3361111111111117E-2</v>
      </c>
      <c r="F74" s="104">
        <v>1.4761666666666666</v>
      </c>
      <c r="G74" s="104">
        <v>4.2166666666666672E-2</v>
      </c>
      <c r="H74" s="108">
        <v>1.4163333333333334</v>
      </c>
      <c r="I74" s="108">
        <v>2.4333333333333332E-2</v>
      </c>
      <c r="O74" s="110">
        <f t="shared" si="12"/>
        <v>101.56115575886018</v>
      </c>
      <c r="P74" s="110">
        <f t="shared" si="13"/>
        <v>4.2659000776381228</v>
      </c>
      <c r="Q74" s="109">
        <f t="shared" si="14"/>
        <v>101.11018820526327</v>
      </c>
      <c r="R74" s="109">
        <f t="shared" si="15"/>
        <v>2.8706873847774563</v>
      </c>
      <c r="S74" s="110">
        <f t="shared" si="16"/>
        <v>102.98398540441922</v>
      </c>
      <c r="T74" s="110">
        <f t="shared" si="17"/>
        <v>5.9963511048043792</v>
      </c>
      <c r="U74" s="109">
        <f t="shared" si="18"/>
        <v>108.83640267569577</v>
      </c>
      <c r="V74" s="109">
        <f t="shared" si="19"/>
        <v>2.6261458419357497</v>
      </c>
    </row>
    <row r="75" spans="1:26" x14ac:dyDescent="0.2">
      <c r="B75" s="104">
        <v>1.1694722222222222</v>
      </c>
      <c r="C75" s="104">
        <v>1.6472222222222221E-2</v>
      </c>
      <c r="D75" s="108">
        <v>1.1663611111111112</v>
      </c>
      <c r="E75" s="108">
        <v>2.1361111111111115E-2</v>
      </c>
      <c r="F75" s="104">
        <v>1.3081666666666667</v>
      </c>
      <c r="G75" s="104">
        <v>5.8166666666666672E-2</v>
      </c>
      <c r="H75" s="108">
        <v>1.3123333333333334</v>
      </c>
      <c r="I75" s="108">
        <v>2.7333333333333334E-2</v>
      </c>
      <c r="O75" s="110">
        <f t="shared" si="12"/>
        <v>111.07916990158841</v>
      </c>
      <c r="P75" s="110">
        <f t="shared" si="13"/>
        <v>3.2083429506683179</v>
      </c>
      <c r="Q75" s="109">
        <f t="shared" si="14"/>
        <v>107.89287088997386</v>
      </c>
      <c r="R75" s="109">
        <f t="shared" si="15"/>
        <v>1.7037742347197187</v>
      </c>
      <c r="S75" s="110">
        <f t="shared" si="16"/>
        <v>107.72754915872696</v>
      </c>
      <c r="T75" s="110">
        <f t="shared" si="17"/>
        <v>3.0772349483073187</v>
      </c>
      <c r="U75" s="109">
        <f t="shared" si="18"/>
        <v>105.26880832438682</v>
      </c>
      <c r="V75" s="109">
        <f t="shared" si="19"/>
        <v>1.8085721364274505</v>
      </c>
    </row>
    <row r="76" spans="1:26" x14ac:dyDescent="0.2">
      <c r="B76" s="104">
        <v>1.2704722222222222</v>
      </c>
      <c r="C76" s="104">
        <v>2.5472222222222229E-2</v>
      </c>
      <c r="D76" s="108">
        <v>1.4193611111111113</v>
      </c>
      <c r="E76" s="108">
        <v>1.8361111111111113E-2</v>
      </c>
      <c r="F76" s="104">
        <v>1.3551666666666666</v>
      </c>
      <c r="G76" s="104">
        <v>3.2166666666666663E-2</v>
      </c>
      <c r="H76" s="108">
        <v>1.2073333333333334</v>
      </c>
      <c r="I76" s="108">
        <v>4.1333333333333333E-2</v>
      </c>
      <c r="O76" s="110">
        <f t="shared" si="12"/>
        <v>88.341691671737621</v>
      </c>
      <c r="P76" s="110">
        <f t="shared" si="13"/>
        <v>1.2443082862958219</v>
      </c>
      <c r="Q76" s="109">
        <f t="shared" si="14"/>
        <v>85.065132391969371</v>
      </c>
      <c r="R76" s="109">
        <f t="shared" si="15"/>
        <v>1.557910090962501</v>
      </c>
      <c r="S76" s="110">
        <f t="shared" si="16"/>
        <v>95.467261301439294</v>
      </c>
      <c r="T76" s="110">
        <f t="shared" si="17"/>
        <v>4.2448814109061423</v>
      </c>
      <c r="U76" s="109">
        <f t="shared" si="18"/>
        <v>97.539020563217434</v>
      </c>
      <c r="V76" s="109">
        <f t="shared" si="19"/>
        <v>2.0315467833842598</v>
      </c>
    </row>
    <row r="77" spans="1:26" x14ac:dyDescent="0.2">
      <c r="B77" s="104">
        <v>1.3314722222222224</v>
      </c>
      <c r="C77" s="104">
        <v>3.5472222222222224E-2</v>
      </c>
      <c r="D77" s="108">
        <v>1.3703611111111111</v>
      </c>
      <c r="E77" s="108">
        <v>2.4361111111111118E-2</v>
      </c>
      <c r="F77" s="104">
        <v>1.4691666666666665</v>
      </c>
      <c r="G77" s="104">
        <v>3.0166666666666661E-2</v>
      </c>
      <c r="H77" s="108">
        <v>1.1613333333333333</v>
      </c>
      <c r="I77" s="108">
        <v>2.7333333333333334E-2</v>
      </c>
      <c r="O77" s="110">
        <f t="shared" si="12"/>
        <v>95.97121094487693</v>
      </c>
      <c r="P77" s="110">
        <f t="shared" si="13"/>
        <v>1.9241664393478402</v>
      </c>
      <c r="Q77" s="109">
        <f t="shared" si="14"/>
        <v>103.51694657725736</v>
      </c>
      <c r="R77" s="109">
        <f t="shared" si="15"/>
        <v>1.3391138753266749</v>
      </c>
      <c r="S77" s="110">
        <f t="shared" si="16"/>
        <v>98.897222785323336</v>
      </c>
      <c r="T77" s="110">
        <f t="shared" si="17"/>
        <v>2.3474559091830529</v>
      </c>
      <c r="U77" s="109">
        <f t="shared" si="18"/>
        <v>89.734907919729139</v>
      </c>
      <c r="V77" s="109">
        <f t="shared" si="19"/>
        <v>3.0720951358493682</v>
      </c>
    </row>
    <row r="78" spans="1:26" x14ac:dyDescent="0.2">
      <c r="A78" s="111" t="s">
        <v>91</v>
      </c>
      <c r="B78" s="111">
        <f t="shared" ref="B78:I78" si="20">AVERAGE(B69:B77)</f>
        <v>1.3238055555555557</v>
      </c>
      <c r="C78" s="111">
        <f t="shared" si="20"/>
        <v>3.2027777777777787E-2</v>
      </c>
      <c r="D78" s="111">
        <f t="shared" si="20"/>
        <v>1.3711388888888889</v>
      </c>
      <c r="E78" s="111">
        <f t="shared" si="20"/>
        <v>2.9805555555555561E-2</v>
      </c>
      <c r="F78" s="111">
        <f t="shared" si="20"/>
        <v>1.3702777777777777</v>
      </c>
      <c r="G78" s="111">
        <f t="shared" si="20"/>
        <v>5.4055555555555558E-2</v>
      </c>
      <c r="H78" s="111">
        <f t="shared" si="20"/>
        <v>1.3454444444444444</v>
      </c>
      <c r="I78" s="111">
        <f t="shared" si="20"/>
        <v>3.4888888888888886E-2</v>
      </c>
      <c r="O78" s="110">
        <f t="shared" si="12"/>
        <v>100.57913842667394</v>
      </c>
      <c r="P78" s="110">
        <f t="shared" si="13"/>
        <v>2.6795643871834147</v>
      </c>
      <c r="Q78" s="109">
        <f t="shared" si="14"/>
        <v>99.943275055205532</v>
      </c>
      <c r="R78" s="109">
        <f t="shared" si="15"/>
        <v>1.7767063065983271</v>
      </c>
      <c r="S78" s="110">
        <f t="shared" si="16"/>
        <v>107.21670383133994</v>
      </c>
      <c r="T78" s="110">
        <f t="shared" si="17"/>
        <v>2.2015001013581994</v>
      </c>
      <c r="U78" s="109">
        <f t="shared" si="18"/>
        <v>86.31596333305805</v>
      </c>
      <c r="V78" s="109">
        <f t="shared" si="19"/>
        <v>2.0315467833842598</v>
      </c>
    </row>
    <row r="79" spans="1:26" x14ac:dyDescent="0.2">
      <c r="A79" s="111" t="s">
        <v>135</v>
      </c>
      <c r="B79" s="111">
        <f t="shared" ref="B79:I79" si="21">STDEV(B69:B77)</f>
        <v>9.2349878180753422E-2</v>
      </c>
      <c r="C79" s="111">
        <f t="shared" si="21"/>
        <v>1.2084195371549472E-2</v>
      </c>
      <c r="D79" s="111">
        <f t="shared" si="21"/>
        <v>0.11486271999410622</v>
      </c>
      <c r="E79" s="111">
        <f t="shared" si="21"/>
        <v>1.8132230358612198E-2</v>
      </c>
      <c r="F79" s="111">
        <f t="shared" si="21"/>
        <v>0.10554672477680727</v>
      </c>
      <c r="G79" s="111">
        <f t="shared" si="21"/>
        <v>1.960512971421282E-2</v>
      </c>
      <c r="H79" s="111">
        <f t="shared" si="21"/>
        <v>0.10447540912153018</v>
      </c>
      <c r="I79" s="111">
        <f t="shared" si="21"/>
        <v>2.1024456658324805E-2</v>
      </c>
      <c r="N79" s="111" t="s">
        <v>91</v>
      </c>
      <c r="O79" s="112">
        <f t="shared" ref="O79:V79" si="22">AVERAGE(O70:O78)</f>
        <v>100</v>
      </c>
      <c r="P79" s="112">
        <f t="shared" si="22"/>
        <v>2.4193717607067171</v>
      </c>
      <c r="Q79" s="112">
        <f t="shared" si="22"/>
        <v>100</v>
      </c>
      <c r="R79" s="112">
        <f t="shared" si="22"/>
        <v>2.1737809201596408</v>
      </c>
      <c r="S79" s="112">
        <f t="shared" si="22"/>
        <v>100</v>
      </c>
      <c r="T79" s="112">
        <f t="shared" si="22"/>
        <v>3.944861139266167</v>
      </c>
      <c r="U79" s="112">
        <f t="shared" si="22"/>
        <v>100</v>
      </c>
      <c r="V79" s="112">
        <f t="shared" si="22"/>
        <v>2.5931125609051118</v>
      </c>
    </row>
    <row r="80" spans="1:26" x14ac:dyDescent="0.2">
      <c r="A80" s="80" t="s">
        <v>97</v>
      </c>
      <c r="B80" s="113">
        <f>3*B79</f>
        <v>0.27704963454226028</v>
      </c>
      <c r="C80" s="113">
        <f t="shared" ref="C80:E80" si="23">3*C79</f>
        <v>3.6252586114648419E-2</v>
      </c>
      <c r="D80" s="113">
        <f t="shared" si="23"/>
        <v>0.34458815998231862</v>
      </c>
      <c r="E80" s="113">
        <f t="shared" si="23"/>
        <v>5.4396691075836598E-2</v>
      </c>
      <c r="F80" s="113">
        <f t="shared" ref="F80:I80" si="24">3*F79</f>
        <v>0.3166401743304218</v>
      </c>
      <c r="G80" s="113">
        <f t="shared" si="24"/>
        <v>5.8815389142638459E-2</v>
      </c>
      <c r="H80" s="113">
        <f t="shared" si="24"/>
        <v>0.31342622736459053</v>
      </c>
      <c r="I80" s="113">
        <f t="shared" si="24"/>
        <v>6.3073369974974411E-2</v>
      </c>
      <c r="N80" s="111" t="s">
        <v>135</v>
      </c>
      <c r="O80" s="112">
        <f t="shared" ref="O80:V80" si="25">STDEV(O70:O78)</f>
        <v>6.9760908460606466</v>
      </c>
      <c r="P80" s="112">
        <f t="shared" si="25"/>
        <v>0.91283763849126254</v>
      </c>
      <c r="Q80" s="112">
        <f t="shared" si="25"/>
        <v>8.377176150782649</v>
      </c>
      <c r="R80" s="112">
        <f t="shared" si="25"/>
        <v>1.3224211278337943</v>
      </c>
      <c r="S80" s="112">
        <f t="shared" si="25"/>
        <v>7.7025787390331653</v>
      </c>
      <c r="T80" s="112">
        <f t="shared" si="25"/>
        <v>1.4307412724744806</v>
      </c>
      <c r="U80" s="112">
        <f t="shared" si="25"/>
        <v>7.7651224881804595</v>
      </c>
      <c r="V80" s="112">
        <f t="shared" si="25"/>
        <v>1.5626402669495676</v>
      </c>
    </row>
    <row r="81" spans="1:22" x14ac:dyDescent="0.2">
      <c r="A81" s="114" t="s">
        <v>124</v>
      </c>
      <c r="B81" s="115">
        <f>B78+B80</f>
        <v>1.6008551900978158</v>
      </c>
      <c r="C81" s="115">
        <f t="shared" ref="C81:E81" si="26">C78+C80</f>
        <v>6.8280363892426199E-2</v>
      </c>
      <c r="D81" s="115">
        <f t="shared" si="26"/>
        <v>1.7157270488712075</v>
      </c>
      <c r="E81" s="115">
        <f t="shared" si="26"/>
        <v>8.4202246631392155E-2</v>
      </c>
      <c r="F81" s="115">
        <f t="shared" ref="F81:I81" si="27">F78+F80</f>
        <v>1.6869179521081996</v>
      </c>
      <c r="G81" s="115">
        <f t="shared" si="27"/>
        <v>0.11287094469819402</v>
      </c>
      <c r="H81" s="115">
        <f t="shared" si="27"/>
        <v>1.6588706718090349</v>
      </c>
      <c r="I81" s="115">
        <f t="shared" si="27"/>
        <v>9.7962258863863297E-2</v>
      </c>
      <c r="N81" s="114" t="s">
        <v>124</v>
      </c>
      <c r="O81" s="112">
        <f>O79+(3*O80)</f>
        <v>120.92827253818194</v>
      </c>
      <c r="P81" s="112">
        <f t="shared" ref="P81:R81" si="28">P79+(3*P80)</f>
        <v>5.1578846761805046</v>
      </c>
      <c r="Q81" s="112">
        <f t="shared" si="28"/>
        <v>125.13152845234795</v>
      </c>
      <c r="R81" s="112">
        <f t="shared" si="28"/>
        <v>6.1410443036610234</v>
      </c>
      <c r="S81" s="112">
        <f t="shared" ref="S81:V81" si="29">S79+(3*S80)</f>
        <v>123.1077362170995</v>
      </c>
      <c r="T81" s="112">
        <f t="shared" si="29"/>
        <v>8.2370849566896087</v>
      </c>
      <c r="U81" s="112">
        <f t="shared" si="29"/>
        <v>123.29536746454139</v>
      </c>
      <c r="V81" s="112">
        <f t="shared" si="29"/>
        <v>7.2810333617538152</v>
      </c>
    </row>
    <row r="82" spans="1:22" x14ac:dyDescent="0.2">
      <c r="A82" s="114" t="s">
        <v>125</v>
      </c>
      <c r="B82" s="115">
        <f>B78-B80</f>
        <v>1.0467559210132955</v>
      </c>
      <c r="C82" s="115">
        <f t="shared" ref="C82:E82" si="30">C78-C80</f>
        <v>-4.2248083368706321E-3</v>
      </c>
      <c r="D82" s="115">
        <f t="shared" si="30"/>
        <v>1.0265507289065703</v>
      </c>
      <c r="E82" s="115">
        <f t="shared" si="30"/>
        <v>-2.4591135520281037E-2</v>
      </c>
      <c r="F82" s="115">
        <f t="shared" ref="F82:I82" si="31">F78-F80</f>
        <v>1.0536376034473558</v>
      </c>
      <c r="G82" s="115">
        <f t="shared" si="31"/>
        <v>-4.7598335870829012E-3</v>
      </c>
      <c r="H82" s="115">
        <f t="shared" si="31"/>
        <v>1.032018217079854</v>
      </c>
      <c r="I82" s="115">
        <f t="shared" si="31"/>
        <v>-2.8184481086085525E-2</v>
      </c>
      <c r="N82" s="114" t="s">
        <v>125</v>
      </c>
      <c r="O82" s="112">
        <f>O79-(3*O80)</f>
        <v>79.071727461818057</v>
      </c>
      <c r="P82" s="112">
        <f t="shared" ref="P82:R82" si="32">P79-(3*P80)</f>
        <v>-0.31914115476707039</v>
      </c>
      <c r="Q82" s="112">
        <f t="shared" si="32"/>
        <v>74.868471547652049</v>
      </c>
      <c r="R82" s="112">
        <f t="shared" si="32"/>
        <v>-1.7934824633417419</v>
      </c>
      <c r="S82" s="112">
        <f t="shared" ref="S82:V82" si="33">S79-(3*S80)</f>
        <v>76.8922637829005</v>
      </c>
      <c r="T82" s="112">
        <f t="shared" si="33"/>
        <v>-0.34736267815727473</v>
      </c>
      <c r="U82" s="112">
        <f t="shared" si="33"/>
        <v>76.704632535458614</v>
      </c>
      <c r="V82" s="112">
        <f t="shared" si="33"/>
        <v>-2.0948082399435912</v>
      </c>
    </row>
    <row r="83" spans="1:22" x14ac:dyDescent="0.2">
      <c r="A83" s="114" t="s">
        <v>94</v>
      </c>
      <c r="B83" s="116">
        <f>B78-(0.2*B78)</f>
        <v>1.0590444444444445</v>
      </c>
      <c r="C83" s="116">
        <f t="shared" ref="C83:E83" si="34">C78-(0.2*C78)</f>
        <v>2.562222222222223E-2</v>
      </c>
      <c r="D83" s="116">
        <f t="shared" si="34"/>
        <v>1.0969111111111112</v>
      </c>
      <c r="E83" s="116">
        <f t="shared" si="34"/>
        <v>2.3844444444444449E-2</v>
      </c>
      <c r="F83" s="116">
        <f t="shared" ref="F83:I83" si="35">F78-(0.2*F78)</f>
        <v>1.0962222222222222</v>
      </c>
      <c r="G83" s="116">
        <f t="shared" si="35"/>
        <v>4.3244444444444446E-2</v>
      </c>
      <c r="H83" s="116">
        <f t="shared" si="35"/>
        <v>1.0763555555555555</v>
      </c>
      <c r="I83" s="116">
        <f t="shared" si="35"/>
        <v>2.7911111111111109E-2</v>
      </c>
      <c r="N83" s="114" t="s">
        <v>94</v>
      </c>
      <c r="O83" s="112"/>
      <c r="P83" s="112"/>
      <c r="Q83" s="112"/>
      <c r="R83" s="112"/>
      <c r="S83" s="112"/>
      <c r="T83" s="112"/>
      <c r="U83" s="112"/>
      <c r="V83" s="112"/>
    </row>
    <row r="84" spans="1:22" x14ac:dyDescent="0.2">
      <c r="A84" s="114" t="s">
        <v>126</v>
      </c>
      <c r="B84" s="117">
        <f>1- ((3*(B79+C79))/(B78-C78))</f>
        <v>0.75746430535763132</v>
      </c>
      <c r="C84" s="111"/>
      <c r="D84" s="117">
        <f>1- ((3*(D79+E79))/(D78-E78))</f>
        <v>0.70254608519521233</v>
      </c>
      <c r="E84" s="111"/>
      <c r="F84" s="117">
        <f>1- ((3*(F79+G79))/(F78-G78))</f>
        <v>0.71474758810927375</v>
      </c>
      <c r="G84" s="111"/>
      <c r="H84" s="117">
        <f>1- ((3*(H79+I79))/(H78-I78))</f>
        <v>0.7127175603174154</v>
      </c>
      <c r="I84" s="111"/>
      <c r="N84" s="111"/>
      <c r="O84" s="112"/>
      <c r="P84" s="112"/>
      <c r="Q84" s="112"/>
      <c r="R84" s="112"/>
      <c r="S84" s="112"/>
      <c r="T84" s="112"/>
      <c r="U84" s="112"/>
      <c r="V84" s="112"/>
    </row>
  </sheetData>
  <mergeCells count="32">
    <mergeCell ref="P1:V1"/>
    <mergeCell ref="R3:Y3"/>
    <mergeCell ref="A57:I57"/>
    <mergeCell ref="B65:I65"/>
    <mergeCell ref="O65:V65"/>
    <mergeCell ref="J3:O3"/>
    <mergeCell ref="R2:W2"/>
    <mergeCell ref="L51:N51"/>
    <mergeCell ref="L52:N52"/>
    <mergeCell ref="B3:E3"/>
    <mergeCell ref="A2:H2"/>
    <mergeCell ref="J2:O2"/>
    <mergeCell ref="O66:V66"/>
    <mergeCell ref="B67:C67"/>
    <mergeCell ref="D67:E67"/>
    <mergeCell ref="F67:G67"/>
    <mergeCell ref="H67:I67"/>
    <mergeCell ref="B66:I66"/>
    <mergeCell ref="O67:V67"/>
    <mergeCell ref="O68:P68"/>
    <mergeCell ref="Q68:R68"/>
    <mergeCell ref="S68:T68"/>
    <mergeCell ref="U68:V68"/>
    <mergeCell ref="L4:N4"/>
    <mergeCell ref="L5:N46"/>
    <mergeCell ref="T5:V46"/>
    <mergeCell ref="T4:V4"/>
    <mergeCell ref="L53:N53"/>
    <mergeCell ref="L54:N54"/>
    <mergeCell ref="L55:N55"/>
    <mergeCell ref="L56:N56"/>
    <mergeCell ref="L57:N5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64A22-8F02-B54B-9A30-FA2CF4CF48CA}">
  <dimension ref="A1:O50"/>
  <sheetViews>
    <sheetView tabSelected="1" workbookViewId="0">
      <selection activeCell="F16" sqref="F16"/>
    </sheetView>
  </sheetViews>
  <sheetFormatPr baseColWidth="10" defaultRowHeight="16" x14ac:dyDescent="0.2"/>
  <cols>
    <col min="1" max="1" width="14.33203125" customWidth="1"/>
    <col min="11" max="12" width="14.83203125" bestFit="1" customWidth="1"/>
    <col min="13" max="13" width="5.6640625" bestFit="1" customWidth="1"/>
    <col min="14" max="14" width="18.1640625" bestFit="1" customWidth="1"/>
    <col min="15" max="15" width="5.6640625" bestFit="1" customWidth="1"/>
  </cols>
  <sheetData>
    <row r="1" spans="1:15" x14ac:dyDescent="0.2">
      <c r="A1" s="79" t="s">
        <v>108</v>
      </c>
      <c r="B1" s="79">
        <v>13.682267347160387</v>
      </c>
      <c r="C1" s="79">
        <v>14.079098937667991</v>
      </c>
      <c r="D1" s="79">
        <v>17.883035282745286</v>
      </c>
      <c r="E1" s="79">
        <v>13.668024707583125</v>
      </c>
    </row>
    <row r="2" spans="1:15" ht="17" thickBot="1" x14ac:dyDescent="0.25">
      <c r="A2" s="169" t="s">
        <v>109</v>
      </c>
      <c r="B2" s="170"/>
      <c r="C2" s="170"/>
      <c r="D2" s="170"/>
      <c r="E2" s="170"/>
      <c r="F2" s="170"/>
      <c r="G2" s="170"/>
      <c r="H2" s="170"/>
    </row>
    <row r="3" spans="1:15" ht="17" thickBot="1" x14ac:dyDescent="0.25">
      <c r="A3" s="63"/>
      <c r="B3" s="166" t="s">
        <v>98</v>
      </c>
      <c r="C3" s="167"/>
      <c r="D3" s="167"/>
      <c r="E3" s="168"/>
      <c r="F3" s="64"/>
      <c r="G3" s="64"/>
      <c r="H3" s="64"/>
    </row>
    <row r="4" spans="1:15" ht="34" x14ac:dyDescent="0.2">
      <c r="A4" s="65" t="s">
        <v>99</v>
      </c>
      <c r="B4" s="66" t="s">
        <v>100</v>
      </c>
      <c r="C4" s="67" t="s">
        <v>101</v>
      </c>
      <c r="D4" s="67" t="s">
        <v>102</v>
      </c>
      <c r="E4" s="67" t="s">
        <v>103</v>
      </c>
      <c r="F4" s="67" t="s">
        <v>104</v>
      </c>
      <c r="G4" s="67" t="s">
        <v>105</v>
      </c>
      <c r="H4" s="68" t="s">
        <v>106</v>
      </c>
      <c r="I4" s="68" t="s">
        <v>107</v>
      </c>
      <c r="L4" s="80" t="s">
        <v>121</v>
      </c>
      <c r="M4" s="80" t="s">
        <v>93</v>
      </c>
      <c r="N4" s="80" t="s">
        <v>138</v>
      </c>
      <c r="O4" s="80" t="s">
        <v>139</v>
      </c>
    </row>
    <row r="5" spans="1:15" ht="17" x14ac:dyDescent="0.2">
      <c r="A5" s="69" t="s">
        <v>3</v>
      </c>
      <c r="B5" s="70">
        <v>2</v>
      </c>
      <c r="C5" s="71">
        <v>0</v>
      </c>
      <c r="D5" s="71">
        <v>4</v>
      </c>
      <c r="E5" s="72">
        <v>0</v>
      </c>
      <c r="F5" s="71">
        <v>0</v>
      </c>
      <c r="G5" s="71">
        <v>0</v>
      </c>
      <c r="H5" s="73">
        <v>0</v>
      </c>
      <c r="I5" s="74">
        <f>SUM(B5:H5)</f>
        <v>6</v>
      </c>
      <c r="J5" s="69" t="s">
        <v>3</v>
      </c>
      <c r="L5" s="171">
        <v>62.306775906406529</v>
      </c>
      <c r="M5" s="171">
        <v>3.126956138037813</v>
      </c>
      <c r="N5" s="171">
        <v>78.078384399414062</v>
      </c>
      <c r="O5" s="172">
        <f>N5-L5</f>
        <v>15.771608493007534</v>
      </c>
    </row>
    <row r="6" spans="1:15" ht="17" x14ac:dyDescent="0.2">
      <c r="A6" s="69" t="s">
        <v>12</v>
      </c>
      <c r="B6" s="70">
        <v>0</v>
      </c>
      <c r="C6" s="71">
        <v>0</v>
      </c>
      <c r="D6" s="71">
        <v>0.5</v>
      </c>
      <c r="E6" s="71">
        <v>1.5</v>
      </c>
      <c r="F6" s="71">
        <v>2</v>
      </c>
      <c r="G6" s="71">
        <v>0</v>
      </c>
      <c r="H6" s="73">
        <v>0</v>
      </c>
      <c r="I6" s="74">
        <f>SUM(B6:H6)</f>
        <v>4</v>
      </c>
      <c r="J6" s="69" t="s">
        <v>12</v>
      </c>
      <c r="L6" s="171">
        <v>63.407490777589523</v>
      </c>
      <c r="M6" s="171">
        <v>3.2972938602710706</v>
      </c>
      <c r="N6" s="171">
        <v>75.409652709960938</v>
      </c>
      <c r="O6" s="172">
        <f t="shared" ref="O6:O50" si="0">N6-L6</f>
        <v>12.002161932371415</v>
      </c>
    </row>
    <row r="7" spans="1:15" ht="17" x14ac:dyDescent="0.2">
      <c r="A7" s="69" t="s">
        <v>20</v>
      </c>
      <c r="B7" s="70">
        <v>0</v>
      </c>
      <c r="C7" s="71">
        <v>0</v>
      </c>
      <c r="D7" s="71">
        <v>1.5</v>
      </c>
      <c r="E7" s="71">
        <v>0</v>
      </c>
      <c r="F7" s="71">
        <v>0</v>
      </c>
      <c r="G7" s="71">
        <v>2</v>
      </c>
      <c r="H7" s="73">
        <v>0</v>
      </c>
      <c r="I7" s="74">
        <f t="shared" ref="I7:I46" si="1">SUM(B7:H7)</f>
        <v>3.5</v>
      </c>
      <c r="J7" s="69" t="s">
        <v>20</v>
      </c>
      <c r="L7" s="171">
        <v>71.222781494805346</v>
      </c>
      <c r="M7" s="171">
        <v>10.615529345368664</v>
      </c>
      <c r="N7" s="171">
        <v>79.610191345214844</v>
      </c>
      <c r="O7" s="172">
        <f t="shared" si="0"/>
        <v>8.3874098504094974</v>
      </c>
    </row>
    <row r="8" spans="1:15" ht="17" x14ac:dyDescent="0.2">
      <c r="A8" s="69" t="s">
        <v>28</v>
      </c>
      <c r="B8" s="70">
        <v>0</v>
      </c>
      <c r="C8" s="71">
        <v>0</v>
      </c>
      <c r="D8" s="71">
        <v>1.5</v>
      </c>
      <c r="E8" s="71">
        <v>0.5</v>
      </c>
      <c r="F8" s="71">
        <v>0</v>
      </c>
      <c r="G8" s="71">
        <v>0</v>
      </c>
      <c r="H8" s="73">
        <v>1.5</v>
      </c>
      <c r="I8" s="74">
        <f t="shared" si="1"/>
        <v>3.5</v>
      </c>
      <c r="J8" s="69" t="s">
        <v>28</v>
      </c>
      <c r="L8" s="171">
        <v>39.429862984001254</v>
      </c>
      <c r="M8" s="171">
        <v>1.4792716163132542</v>
      </c>
      <c r="N8" s="171">
        <v>78.814895629882812</v>
      </c>
      <c r="O8" s="172">
        <f t="shared" si="0"/>
        <v>39.385032645881559</v>
      </c>
    </row>
    <row r="9" spans="1:15" ht="17" x14ac:dyDescent="0.2">
      <c r="A9" s="69" t="s">
        <v>36</v>
      </c>
      <c r="B9" s="70">
        <v>6</v>
      </c>
      <c r="C9" s="71">
        <v>0</v>
      </c>
      <c r="D9" s="71">
        <v>0</v>
      </c>
      <c r="E9" s="71">
        <v>0</v>
      </c>
      <c r="F9" s="71">
        <v>0</v>
      </c>
      <c r="G9" s="71">
        <v>0</v>
      </c>
      <c r="H9" s="74">
        <v>0</v>
      </c>
      <c r="I9" s="74">
        <f t="shared" si="1"/>
        <v>6</v>
      </c>
      <c r="J9" s="69" t="s">
        <v>36</v>
      </c>
      <c r="L9" s="171">
        <v>2.2518475215362588</v>
      </c>
      <c r="M9" s="171">
        <v>0.6793706215985289</v>
      </c>
      <c r="N9" s="171">
        <v>21.3713264465332</v>
      </c>
      <c r="O9" s="172">
        <f t="shared" si="0"/>
        <v>19.11947892499694</v>
      </c>
    </row>
    <row r="10" spans="1:15" ht="17" x14ac:dyDescent="0.2">
      <c r="A10" s="69" t="s">
        <v>44</v>
      </c>
      <c r="B10" s="70">
        <v>3</v>
      </c>
      <c r="C10" s="71">
        <v>0</v>
      </c>
      <c r="D10" s="71">
        <v>0</v>
      </c>
      <c r="E10" s="71">
        <v>0</v>
      </c>
      <c r="F10" s="71">
        <v>0</v>
      </c>
      <c r="G10" s="71">
        <v>0</v>
      </c>
      <c r="H10" s="74">
        <v>3</v>
      </c>
      <c r="I10" s="74">
        <f t="shared" si="1"/>
        <v>6</v>
      </c>
      <c r="J10" s="69" t="s">
        <v>44</v>
      </c>
      <c r="L10" s="171">
        <v>16.757758004030048</v>
      </c>
      <c r="M10" s="171">
        <v>2.0595030763223479</v>
      </c>
      <c r="N10" s="171">
        <v>17.54472732543945</v>
      </c>
      <c r="O10" s="172">
        <f t="shared" si="0"/>
        <v>0.78696932140940135</v>
      </c>
    </row>
    <row r="11" spans="1:15" ht="17" x14ac:dyDescent="0.2">
      <c r="A11" s="69" t="s">
        <v>4</v>
      </c>
      <c r="B11" s="75">
        <v>0</v>
      </c>
      <c r="C11" s="76">
        <v>0</v>
      </c>
      <c r="D11" s="76">
        <v>1.5</v>
      </c>
      <c r="E11" s="77">
        <v>4.5</v>
      </c>
      <c r="F11" s="76">
        <v>0</v>
      </c>
      <c r="G11" s="76">
        <v>0</v>
      </c>
      <c r="H11" s="78">
        <v>0</v>
      </c>
      <c r="I11" s="74">
        <f t="shared" si="1"/>
        <v>6</v>
      </c>
      <c r="J11" s="69" t="s">
        <v>4</v>
      </c>
      <c r="L11" s="171">
        <v>1.394888662840944</v>
      </c>
      <c r="M11" s="171">
        <v>0.43091946548608157</v>
      </c>
      <c r="N11" s="171">
        <v>16.075338363647461</v>
      </c>
      <c r="O11" s="172">
        <f t="shared" si="0"/>
        <v>14.680449700806516</v>
      </c>
    </row>
    <row r="12" spans="1:15" ht="17" x14ac:dyDescent="0.2">
      <c r="A12" s="69" t="s">
        <v>13</v>
      </c>
      <c r="B12" s="75">
        <v>0</v>
      </c>
      <c r="C12" s="76">
        <v>0</v>
      </c>
      <c r="D12" s="76">
        <v>2.5</v>
      </c>
      <c r="E12" s="77">
        <v>0</v>
      </c>
      <c r="F12" s="76">
        <v>0</v>
      </c>
      <c r="G12" s="76">
        <v>0</v>
      </c>
      <c r="H12" s="78">
        <v>3</v>
      </c>
      <c r="I12" s="74">
        <f t="shared" si="1"/>
        <v>5.5</v>
      </c>
      <c r="J12" s="69" t="s">
        <v>13</v>
      </c>
      <c r="L12" s="171">
        <v>25.807312272891846</v>
      </c>
      <c r="M12" s="171">
        <v>4.1470811860087231</v>
      </c>
      <c r="N12" s="171">
        <v>17.573005676269531</v>
      </c>
      <c r="O12" s="172">
        <f t="shared" si="0"/>
        <v>-8.2343065966223143</v>
      </c>
    </row>
    <row r="13" spans="1:15" ht="17" x14ac:dyDescent="0.2">
      <c r="A13" s="69" t="s">
        <v>21</v>
      </c>
      <c r="B13" s="75">
        <v>0</v>
      </c>
      <c r="C13" s="76">
        <v>0</v>
      </c>
      <c r="D13" s="76">
        <v>5.5</v>
      </c>
      <c r="E13" s="77">
        <v>0</v>
      </c>
      <c r="F13" s="76">
        <v>0</v>
      </c>
      <c r="G13" s="76">
        <v>0.5</v>
      </c>
      <c r="H13" s="78">
        <v>0</v>
      </c>
      <c r="I13" s="74">
        <f t="shared" si="1"/>
        <v>6</v>
      </c>
      <c r="J13" s="69" t="s">
        <v>21</v>
      </c>
      <c r="L13" s="171">
        <v>60.454294513974766</v>
      </c>
      <c r="M13" s="171">
        <v>1.8167104796569207</v>
      </c>
      <c r="N13" s="171">
        <v>72.793403625488281</v>
      </c>
      <c r="O13" s="172">
        <f t="shared" si="0"/>
        <v>12.339109111513515</v>
      </c>
    </row>
    <row r="14" spans="1:15" ht="17" x14ac:dyDescent="0.2">
      <c r="A14" s="69" t="s">
        <v>29</v>
      </c>
      <c r="B14" s="75">
        <v>0</v>
      </c>
      <c r="C14" s="76">
        <v>2</v>
      </c>
      <c r="D14" s="76">
        <v>4</v>
      </c>
      <c r="E14" s="77">
        <v>0</v>
      </c>
      <c r="F14" s="76">
        <v>0</v>
      </c>
      <c r="G14" s="76">
        <v>0</v>
      </c>
      <c r="H14" s="78">
        <v>0</v>
      </c>
      <c r="I14" s="74">
        <f>SUM(B14:H14)</f>
        <v>6</v>
      </c>
      <c r="J14" s="69" t="s">
        <v>29</v>
      </c>
      <c r="L14" s="171">
        <v>42.417195395275883</v>
      </c>
      <c r="M14" s="171">
        <v>6.0514979986780446</v>
      </c>
      <c r="N14" s="171">
        <v>67.498992919921875</v>
      </c>
      <c r="O14" s="172">
        <f t="shared" si="0"/>
        <v>25.081797524645992</v>
      </c>
    </row>
    <row r="15" spans="1:15" ht="17" x14ac:dyDescent="0.2">
      <c r="A15" s="69" t="s">
        <v>37</v>
      </c>
      <c r="B15" s="75">
        <v>0</v>
      </c>
      <c r="C15" s="76">
        <v>0</v>
      </c>
      <c r="D15" s="76">
        <v>3.5</v>
      </c>
      <c r="E15" s="77">
        <v>0.5</v>
      </c>
      <c r="F15" s="76">
        <v>0</v>
      </c>
      <c r="G15" s="76">
        <v>0</v>
      </c>
      <c r="H15" s="78">
        <v>1.5</v>
      </c>
      <c r="I15" s="74">
        <f t="shared" si="1"/>
        <v>5.5</v>
      </c>
      <c r="J15" s="69" t="s">
        <v>37</v>
      </c>
      <c r="L15" s="171">
        <v>40.759519459742073</v>
      </c>
      <c r="M15" s="171">
        <v>1.694078638216554</v>
      </c>
      <c r="N15" s="171">
        <v>66.537864685058594</v>
      </c>
      <c r="O15" s="172">
        <f t="shared" si="0"/>
        <v>25.778345225316521</v>
      </c>
    </row>
    <row r="16" spans="1:15" ht="17" x14ac:dyDescent="0.2">
      <c r="A16" s="69" t="s">
        <v>45</v>
      </c>
      <c r="B16" s="75">
        <v>0</v>
      </c>
      <c r="C16" s="76">
        <v>0</v>
      </c>
      <c r="D16" s="76">
        <v>4</v>
      </c>
      <c r="E16" s="77">
        <v>0</v>
      </c>
      <c r="F16" s="76">
        <v>2</v>
      </c>
      <c r="G16" s="76">
        <v>0</v>
      </c>
      <c r="H16" s="78">
        <v>0</v>
      </c>
      <c r="I16" s="74">
        <f t="shared" si="1"/>
        <v>6</v>
      </c>
      <c r="J16" s="69" t="s">
        <v>45</v>
      </c>
      <c r="L16" s="171">
        <v>37.967092289978233</v>
      </c>
      <c r="M16" s="171">
        <v>2.1789892130396744</v>
      </c>
      <c r="N16" s="171">
        <v>71.480262756347656</v>
      </c>
      <c r="O16" s="172">
        <f t="shared" si="0"/>
        <v>33.513170466369424</v>
      </c>
    </row>
    <row r="17" spans="1:15" ht="17" x14ac:dyDescent="0.2">
      <c r="A17" s="69" t="s">
        <v>5</v>
      </c>
      <c r="B17" s="70">
        <v>5</v>
      </c>
      <c r="C17" s="71">
        <v>0.5</v>
      </c>
      <c r="D17" s="71">
        <v>0.5</v>
      </c>
      <c r="E17" s="72">
        <v>0</v>
      </c>
      <c r="F17" s="71">
        <v>0</v>
      </c>
      <c r="G17" s="71">
        <v>0</v>
      </c>
      <c r="H17" s="74">
        <v>0</v>
      </c>
      <c r="I17" s="74">
        <f t="shared" si="1"/>
        <v>6</v>
      </c>
      <c r="J17" s="69" t="s">
        <v>5</v>
      </c>
      <c r="L17" s="171">
        <v>8.5827768029543972</v>
      </c>
      <c r="M17" s="171">
        <v>1.0634367631432633</v>
      </c>
      <c r="N17" s="171">
        <v>40.497528076171882</v>
      </c>
      <c r="O17" s="172">
        <f t="shared" si="0"/>
        <v>31.914751273217483</v>
      </c>
    </row>
    <row r="18" spans="1:15" ht="17" x14ac:dyDescent="0.2">
      <c r="A18" s="69" t="s">
        <v>14</v>
      </c>
      <c r="B18" s="70">
        <v>2.5</v>
      </c>
      <c r="C18" s="71">
        <v>0</v>
      </c>
      <c r="D18" s="71">
        <v>0</v>
      </c>
      <c r="E18" s="72">
        <v>0</v>
      </c>
      <c r="F18" s="71">
        <v>0</v>
      </c>
      <c r="G18" s="71">
        <v>0</v>
      </c>
      <c r="H18" s="74">
        <v>2.5</v>
      </c>
      <c r="I18" s="74">
        <f t="shared" si="1"/>
        <v>5</v>
      </c>
      <c r="J18" s="69" t="s">
        <v>14</v>
      </c>
      <c r="L18" s="171">
        <v>29.712678365495844</v>
      </c>
      <c r="M18" s="171">
        <v>3.1141287825498858</v>
      </c>
      <c r="N18" s="171">
        <v>38.993827819824219</v>
      </c>
      <c r="O18" s="172">
        <f t="shared" si="0"/>
        <v>9.281149454328375</v>
      </c>
    </row>
    <row r="19" spans="1:15" ht="17" x14ac:dyDescent="0.2">
      <c r="A19" s="69" t="s">
        <v>22</v>
      </c>
      <c r="B19" s="70">
        <v>0</v>
      </c>
      <c r="C19" s="71">
        <v>0</v>
      </c>
      <c r="D19" s="71">
        <v>3.5</v>
      </c>
      <c r="E19" s="72">
        <v>0</v>
      </c>
      <c r="F19" s="71">
        <v>0</v>
      </c>
      <c r="G19" s="71">
        <v>0</v>
      </c>
      <c r="H19" s="74">
        <v>2.5</v>
      </c>
      <c r="I19" s="74">
        <f t="shared" si="1"/>
        <v>6</v>
      </c>
      <c r="J19" s="69" t="s">
        <v>22</v>
      </c>
      <c r="L19" s="171">
        <v>32.284442114581651</v>
      </c>
      <c r="M19" s="171">
        <v>0.55118587577224765</v>
      </c>
      <c r="N19" s="171">
        <v>42.731056213378913</v>
      </c>
      <c r="O19" s="172">
        <f t="shared" si="0"/>
        <v>10.446614098797262</v>
      </c>
    </row>
    <row r="20" spans="1:15" ht="17" x14ac:dyDescent="0.2">
      <c r="A20" s="69" t="s">
        <v>30</v>
      </c>
      <c r="B20" s="70">
        <v>0</v>
      </c>
      <c r="C20" s="71">
        <v>2.5</v>
      </c>
      <c r="D20" s="71">
        <v>2.5</v>
      </c>
      <c r="E20" s="72">
        <v>0</v>
      </c>
      <c r="F20" s="71">
        <v>0</v>
      </c>
      <c r="G20" s="71">
        <v>0</v>
      </c>
      <c r="H20" s="74">
        <v>1</v>
      </c>
      <c r="I20" s="74">
        <f t="shared" si="1"/>
        <v>6</v>
      </c>
      <c r="J20" s="69" t="s">
        <v>30</v>
      </c>
      <c r="L20" s="171">
        <v>33.202921252020175</v>
      </c>
      <c r="M20" s="171">
        <v>2.9121824216275352</v>
      </c>
      <c r="N20" s="171">
        <v>38.656471252441413</v>
      </c>
      <c r="O20" s="172">
        <f t="shared" si="0"/>
        <v>5.4535500004212381</v>
      </c>
    </row>
    <row r="21" spans="1:15" ht="17" x14ac:dyDescent="0.2">
      <c r="A21" s="69" t="s">
        <v>38</v>
      </c>
      <c r="B21" s="70">
        <v>0</v>
      </c>
      <c r="C21" s="71">
        <v>0</v>
      </c>
      <c r="D21" s="71">
        <v>0</v>
      </c>
      <c r="E21" s="72">
        <v>0</v>
      </c>
      <c r="F21" s="71">
        <v>5</v>
      </c>
      <c r="G21" s="71">
        <v>0</v>
      </c>
      <c r="H21" s="74">
        <v>1</v>
      </c>
      <c r="I21" s="74">
        <f t="shared" si="1"/>
        <v>6</v>
      </c>
      <c r="J21" s="69" t="s">
        <v>38</v>
      </c>
      <c r="L21" s="171">
        <v>7.260004831179768</v>
      </c>
      <c r="M21" s="171">
        <v>2.6149536945542491</v>
      </c>
      <c r="N21" s="171">
        <v>3.4421110153198242</v>
      </c>
      <c r="O21" s="172">
        <f t="shared" si="0"/>
        <v>-3.8178938158599438</v>
      </c>
    </row>
    <row r="22" spans="1:15" ht="17" x14ac:dyDescent="0.2">
      <c r="A22" s="69" t="s">
        <v>46</v>
      </c>
      <c r="B22" s="70">
        <v>0</v>
      </c>
      <c r="C22" s="71">
        <v>5</v>
      </c>
      <c r="D22" s="71">
        <v>0</v>
      </c>
      <c r="E22" s="72">
        <v>0</v>
      </c>
      <c r="F22" s="71">
        <v>0</v>
      </c>
      <c r="G22" s="71">
        <v>0</v>
      </c>
      <c r="H22" s="74">
        <v>1</v>
      </c>
      <c r="I22" s="74">
        <f t="shared" si="1"/>
        <v>6</v>
      </c>
      <c r="J22" s="69" t="s">
        <v>46</v>
      </c>
      <c r="L22" s="171">
        <v>6.2268535582244908</v>
      </c>
      <c r="M22" s="171">
        <v>1.2623679615414767</v>
      </c>
      <c r="N22" s="171">
        <v>4.5870676040649414</v>
      </c>
      <c r="O22" s="172">
        <f t="shared" si="0"/>
        <v>-1.6397859541595494</v>
      </c>
    </row>
    <row r="23" spans="1:15" ht="17" x14ac:dyDescent="0.2">
      <c r="A23" s="69" t="s">
        <v>6</v>
      </c>
      <c r="B23" s="75">
        <v>1.5</v>
      </c>
      <c r="C23" s="76">
        <v>1</v>
      </c>
      <c r="D23" s="76">
        <v>0</v>
      </c>
      <c r="E23" s="77">
        <v>1</v>
      </c>
      <c r="F23" s="76">
        <v>0.5</v>
      </c>
      <c r="G23" s="76">
        <v>1</v>
      </c>
      <c r="H23" s="78">
        <v>1</v>
      </c>
      <c r="I23" s="74">
        <f t="shared" si="1"/>
        <v>6</v>
      </c>
      <c r="J23" s="69" t="s">
        <v>6</v>
      </c>
      <c r="L23" s="171">
        <v>15.590680266803639</v>
      </c>
      <c r="M23" s="171">
        <v>2.6257686997741208</v>
      </c>
      <c r="N23" s="171">
        <v>7.9334349632263184</v>
      </c>
      <c r="O23" s="172">
        <f t="shared" si="0"/>
        <v>-7.6572453035773211</v>
      </c>
    </row>
    <row r="24" spans="1:15" ht="17" x14ac:dyDescent="0.2">
      <c r="A24" s="69" t="s">
        <v>15</v>
      </c>
      <c r="B24" s="75">
        <v>0</v>
      </c>
      <c r="C24" s="76">
        <v>0</v>
      </c>
      <c r="D24" s="76">
        <v>0</v>
      </c>
      <c r="E24" s="77">
        <v>3</v>
      </c>
      <c r="F24" s="76">
        <v>0</v>
      </c>
      <c r="G24" s="76">
        <v>3</v>
      </c>
      <c r="H24" s="78">
        <v>0</v>
      </c>
      <c r="I24" s="74">
        <f t="shared" si="1"/>
        <v>6</v>
      </c>
      <c r="J24" s="69" t="s">
        <v>15</v>
      </c>
      <c r="L24" s="171">
        <v>1.3671603076667116</v>
      </c>
      <c r="M24" s="171">
        <v>0.34586640809033808</v>
      </c>
      <c r="N24" s="171">
        <v>4.8221964836120614</v>
      </c>
      <c r="O24" s="172">
        <f t="shared" si="0"/>
        <v>3.4550361759453496</v>
      </c>
    </row>
    <row r="25" spans="1:15" ht="17" x14ac:dyDescent="0.2">
      <c r="A25" s="69" t="s">
        <v>23</v>
      </c>
      <c r="B25" s="75">
        <v>0</v>
      </c>
      <c r="C25" s="76">
        <v>0.5</v>
      </c>
      <c r="D25" s="76">
        <v>3.5</v>
      </c>
      <c r="E25" s="77">
        <v>0</v>
      </c>
      <c r="F25" s="76">
        <v>0</v>
      </c>
      <c r="G25" s="76">
        <v>0</v>
      </c>
      <c r="H25" s="78">
        <v>2</v>
      </c>
      <c r="I25" s="74">
        <f t="shared" si="1"/>
        <v>6</v>
      </c>
      <c r="J25" s="69" t="s">
        <v>23</v>
      </c>
      <c r="L25" s="171">
        <v>33.826802311603643</v>
      </c>
      <c r="M25" s="171">
        <v>1.1201464149710707</v>
      </c>
      <c r="N25" s="171">
        <v>48.541118621826172</v>
      </c>
      <c r="O25" s="172">
        <f t="shared" si="0"/>
        <v>14.714316310222529</v>
      </c>
    </row>
    <row r="26" spans="1:15" ht="17" x14ac:dyDescent="0.2">
      <c r="A26" s="69" t="s">
        <v>31</v>
      </c>
      <c r="B26" s="75">
        <v>0</v>
      </c>
      <c r="C26" s="77">
        <v>0</v>
      </c>
      <c r="D26" s="76">
        <v>0</v>
      </c>
      <c r="E26" s="77">
        <v>4</v>
      </c>
      <c r="F26" s="76">
        <v>0</v>
      </c>
      <c r="G26" s="76">
        <v>0</v>
      </c>
      <c r="H26" s="78">
        <v>0</v>
      </c>
      <c r="I26" s="74">
        <f t="shared" si="1"/>
        <v>4</v>
      </c>
      <c r="J26" s="69" t="s">
        <v>31</v>
      </c>
      <c r="L26" s="171">
        <v>57.224036268232929</v>
      </c>
      <c r="M26" s="171">
        <v>2.3561919786602363</v>
      </c>
      <c r="N26" s="171">
        <v>50.672317504882812</v>
      </c>
      <c r="O26" s="172">
        <f t="shared" si="0"/>
        <v>-6.5517187633501166</v>
      </c>
    </row>
    <row r="27" spans="1:15" ht="17" x14ac:dyDescent="0.2">
      <c r="A27" s="69" t="s">
        <v>39</v>
      </c>
      <c r="B27" s="75">
        <v>2</v>
      </c>
      <c r="C27" s="76">
        <v>0</v>
      </c>
      <c r="D27" s="76">
        <v>0</v>
      </c>
      <c r="E27" s="77">
        <v>0</v>
      </c>
      <c r="F27" s="76">
        <v>0</v>
      </c>
      <c r="G27" s="76">
        <v>0</v>
      </c>
      <c r="H27" s="78">
        <v>2.5</v>
      </c>
      <c r="I27" s="74">
        <f t="shared" si="1"/>
        <v>4.5</v>
      </c>
      <c r="J27" s="69" t="s">
        <v>39</v>
      </c>
      <c r="L27" s="171">
        <v>34.85283969086823</v>
      </c>
      <c r="M27" s="171">
        <v>2.3042437495229282</v>
      </c>
      <c r="N27" s="171">
        <v>48.479785919189453</v>
      </c>
      <c r="O27" s="172">
        <f t="shared" si="0"/>
        <v>13.626946228321223</v>
      </c>
    </row>
    <row r="28" spans="1:15" ht="17" x14ac:dyDescent="0.2">
      <c r="A28" s="69" t="s">
        <v>47</v>
      </c>
      <c r="B28" s="75">
        <v>0</v>
      </c>
      <c r="C28" s="76">
        <v>0</v>
      </c>
      <c r="D28" s="76">
        <v>3.5</v>
      </c>
      <c r="E28" s="77">
        <v>0</v>
      </c>
      <c r="F28" s="76">
        <v>0</v>
      </c>
      <c r="G28" s="76">
        <v>2.5</v>
      </c>
      <c r="H28" s="78">
        <v>0</v>
      </c>
      <c r="I28" s="74">
        <f t="shared" si="1"/>
        <v>6</v>
      </c>
      <c r="J28" s="69" t="s">
        <v>47</v>
      </c>
      <c r="L28" s="171">
        <v>35.68007801799277</v>
      </c>
      <c r="M28" s="171">
        <v>6.3629226287283318</v>
      </c>
      <c r="N28" s="171">
        <v>47.531570434570312</v>
      </c>
      <c r="O28" s="172">
        <f t="shared" si="0"/>
        <v>11.851492416577543</v>
      </c>
    </row>
    <row r="29" spans="1:15" ht="17" x14ac:dyDescent="0.2">
      <c r="A29" s="69" t="s">
        <v>7</v>
      </c>
      <c r="B29" s="70">
        <v>0</v>
      </c>
      <c r="C29" s="71">
        <v>0</v>
      </c>
      <c r="D29" s="71">
        <v>3</v>
      </c>
      <c r="E29" s="72">
        <v>0</v>
      </c>
      <c r="F29" s="71">
        <v>0</v>
      </c>
      <c r="G29" s="71">
        <v>0</v>
      </c>
      <c r="H29" s="74">
        <v>3</v>
      </c>
      <c r="I29" s="74">
        <f t="shared" si="1"/>
        <v>6</v>
      </c>
      <c r="J29" s="69" t="s">
        <v>7</v>
      </c>
      <c r="L29" s="171">
        <v>8.244529219652037</v>
      </c>
      <c r="M29" s="171">
        <v>2.0198762992528656</v>
      </c>
      <c r="N29" s="171">
        <v>25.481584548950199</v>
      </c>
      <c r="O29" s="172">
        <f t="shared" si="0"/>
        <v>17.237055329298162</v>
      </c>
    </row>
    <row r="30" spans="1:15" ht="17" x14ac:dyDescent="0.2">
      <c r="A30" s="69" t="s">
        <v>16</v>
      </c>
      <c r="B30" s="70">
        <v>0</v>
      </c>
      <c r="C30" s="71">
        <v>0</v>
      </c>
      <c r="D30" s="71">
        <v>0</v>
      </c>
      <c r="E30" s="72">
        <v>0</v>
      </c>
      <c r="F30" s="71">
        <v>6</v>
      </c>
      <c r="G30" s="71">
        <v>0</v>
      </c>
      <c r="H30" s="74">
        <v>0</v>
      </c>
      <c r="I30" s="74">
        <f t="shared" si="1"/>
        <v>6</v>
      </c>
      <c r="J30" s="69" t="s">
        <v>16</v>
      </c>
      <c r="L30" s="171">
        <v>21.130857645450892</v>
      </c>
      <c r="M30" s="171">
        <v>5.222653324872085</v>
      </c>
      <c r="N30" s="171">
        <v>26.23465538024902</v>
      </c>
      <c r="O30" s="172">
        <f t="shared" si="0"/>
        <v>5.1037977347981283</v>
      </c>
    </row>
    <row r="31" spans="1:15" ht="17" x14ac:dyDescent="0.2">
      <c r="A31" s="69" t="s">
        <v>24</v>
      </c>
      <c r="B31" s="70">
        <v>2.5</v>
      </c>
      <c r="C31" s="71">
        <v>0</v>
      </c>
      <c r="D31" s="71">
        <v>0</v>
      </c>
      <c r="E31" s="72">
        <v>0</v>
      </c>
      <c r="F31" s="71">
        <v>0</v>
      </c>
      <c r="G31" s="71">
        <v>0</v>
      </c>
      <c r="H31" s="74">
        <v>3</v>
      </c>
      <c r="I31" s="74">
        <f t="shared" si="1"/>
        <v>5.5</v>
      </c>
      <c r="J31" s="69" t="s">
        <v>24</v>
      </c>
      <c r="L31" s="171">
        <v>21.767308993587136</v>
      </c>
      <c r="M31" s="171">
        <v>1.6222201778296417</v>
      </c>
      <c r="N31" s="171">
        <v>24.036037445068359</v>
      </c>
      <c r="O31" s="172">
        <f t="shared" si="0"/>
        <v>2.2687284514812234</v>
      </c>
    </row>
    <row r="32" spans="1:15" ht="17" x14ac:dyDescent="0.2">
      <c r="A32" s="69" t="s">
        <v>32</v>
      </c>
      <c r="B32" s="70">
        <v>3</v>
      </c>
      <c r="C32" s="71">
        <v>0</v>
      </c>
      <c r="D32" s="71">
        <v>0</v>
      </c>
      <c r="E32" s="72">
        <v>3</v>
      </c>
      <c r="F32" s="71">
        <v>0</v>
      </c>
      <c r="G32" s="71">
        <v>0</v>
      </c>
      <c r="H32" s="74">
        <v>0</v>
      </c>
      <c r="I32" s="74">
        <f t="shared" si="1"/>
        <v>6</v>
      </c>
      <c r="J32" s="69" t="s">
        <v>32</v>
      </c>
      <c r="L32" s="171">
        <v>20.819149244466125</v>
      </c>
      <c r="M32" s="171">
        <v>5.7808456016956118</v>
      </c>
      <c r="N32" s="171">
        <v>24.31118202209473</v>
      </c>
      <c r="O32" s="172">
        <f t="shared" si="0"/>
        <v>3.4920327776286051</v>
      </c>
    </row>
    <row r="33" spans="1:15" ht="17" x14ac:dyDescent="0.2">
      <c r="A33" s="69" t="s">
        <v>40</v>
      </c>
      <c r="B33" s="70">
        <v>0</v>
      </c>
      <c r="C33" s="71">
        <v>6</v>
      </c>
      <c r="D33" s="71">
        <v>0</v>
      </c>
      <c r="E33" s="72">
        <v>0</v>
      </c>
      <c r="F33" s="71">
        <v>0</v>
      </c>
      <c r="G33" s="71">
        <v>0</v>
      </c>
      <c r="H33" s="74">
        <v>0</v>
      </c>
      <c r="I33" s="74">
        <f t="shared" si="1"/>
        <v>6</v>
      </c>
      <c r="J33" s="69" t="s">
        <v>40</v>
      </c>
      <c r="L33" s="171">
        <v>0.10319328700823417</v>
      </c>
      <c r="M33" s="171">
        <v>6.9443718029675435E-3</v>
      </c>
      <c r="N33" s="171">
        <v>13.96044445037842</v>
      </c>
      <c r="O33" s="172">
        <f t="shared" si="0"/>
        <v>13.857251163370185</v>
      </c>
    </row>
    <row r="34" spans="1:15" ht="17" x14ac:dyDescent="0.2">
      <c r="A34" s="69" t="s">
        <v>48</v>
      </c>
      <c r="B34" s="70">
        <v>2.5</v>
      </c>
      <c r="C34" s="71">
        <v>0</v>
      </c>
      <c r="D34" s="71">
        <v>0</v>
      </c>
      <c r="E34" s="72">
        <v>0</v>
      </c>
      <c r="F34" s="71">
        <v>0</v>
      </c>
      <c r="G34" s="71">
        <v>0</v>
      </c>
      <c r="H34" s="74">
        <v>3.5</v>
      </c>
      <c r="I34" s="74">
        <f t="shared" si="1"/>
        <v>6</v>
      </c>
      <c r="J34" s="69" t="s">
        <v>48</v>
      </c>
      <c r="L34" s="171">
        <v>16.550193366675249</v>
      </c>
      <c r="M34" s="171">
        <v>3.116361795973464</v>
      </c>
      <c r="N34" s="171">
        <v>13.609052658081049</v>
      </c>
      <c r="O34" s="172">
        <f t="shared" si="0"/>
        <v>-2.9411407085941992</v>
      </c>
    </row>
    <row r="35" spans="1:15" ht="17" x14ac:dyDescent="0.2">
      <c r="A35" s="69" t="s">
        <v>8</v>
      </c>
      <c r="B35" s="75">
        <v>0</v>
      </c>
      <c r="C35" s="76">
        <v>1.5</v>
      </c>
      <c r="D35" s="76">
        <v>2</v>
      </c>
      <c r="E35" s="77">
        <v>0</v>
      </c>
      <c r="F35" s="77">
        <v>0</v>
      </c>
      <c r="G35" s="76">
        <v>0</v>
      </c>
      <c r="H35" s="78">
        <v>2.5</v>
      </c>
      <c r="I35" s="74">
        <f t="shared" si="1"/>
        <v>6</v>
      </c>
      <c r="J35" s="69" t="s">
        <v>8</v>
      </c>
      <c r="L35" s="171">
        <v>18.024244522308326</v>
      </c>
      <c r="M35" s="171">
        <v>4.3301344522960941</v>
      </c>
      <c r="N35" s="171">
        <v>9.2796459197998047</v>
      </c>
      <c r="O35" s="172">
        <f t="shared" si="0"/>
        <v>-8.7445986025085212</v>
      </c>
    </row>
    <row r="36" spans="1:15" ht="17" x14ac:dyDescent="0.2">
      <c r="A36" s="69" t="s">
        <v>17</v>
      </c>
      <c r="B36" s="75">
        <v>0</v>
      </c>
      <c r="C36" s="76">
        <v>3</v>
      </c>
      <c r="D36" s="76">
        <v>0</v>
      </c>
      <c r="E36" s="77">
        <v>0</v>
      </c>
      <c r="F36" s="77">
        <v>2.5</v>
      </c>
      <c r="G36" s="76">
        <v>0</v>
      </c>
      <c r="H36" s="78">
        <v>0.5</v>
      </c>
      <c r="I36" s="74">
        <f t="shared" si="1"/>
        <v>6</v>
      </c>
      <c r="J36" s="69" t="s">
        <v>17</v>
      </c>
      <c r="L36" s="171">
        <v>7.7945614603615985</v>
      </c>
      <c r="M36" s="171">
        <v>0.53805183648491317</v>
      </c>
      <c r="N36" s="171">
        <v>8.2998552322387695</v>
      </c>
      <c r="O36" s="172">
        <f t="shared" si="0"/>
        <v>0.50529377187717106</v>
      </c>
    </row>
    <row r="37" spans="1:15" ht="17" x14ac:dyDescent="0.2">
      <c r="A37" s="69" t="s">
        <v>25</v>
      </c>
      <c r="B37" s="75">
        <v>0</v>
      </c>
      <c r="C37" s="76">
        <v>0</v>
      </c>
      <c r="D37" s="76">
        <v>4.5</v>
      </c>
      <c r="E37" s="77">
        <v>0</v>
      </c>
      <c r="F37" s="76">
        <v>0</v>
      </c>
      <c r="G37" s="76">
        <v>1.5</v>
      </c>
      <c r="H37" s="78">
        <v>0</v>
      </c>
      <c r="I37" s="74">
        <f t="shared" si="1"/>
        <v>6</v>
      </c>
      <c r="J37" s="69" t="s">
        <v>25</v>
      </c>
      <c r="L37" s="171">
        <v>42.796788195849956</v>
      </c>
      <c r="M37" s="171">
        <v>2.4314493929634047</v>
      </c>
      <c r="N37" s="171">
        <v>62.17919921875</v>
      </c>
      <c r="O37" s="172">
        <f t="shared" si="0"/>
        <v>19.382411022900044</v>
      </c>
    </row>
    <row r="38" spans="1:15" ht="17" x14ac:dyDescent="0.2">
      <c r="A38" s="69" t="s">
        <v>33</v>
      </c>
      <c r="B38" s="75">
        <v>0</v>
      </c>
      <c r="C38" s="76">
        <v>0</v>
      </c>
      <c r="D38" s="76">
        <v>3.5</v>
      </c>
      <c r="E38" s="77">
        <v>0.5</v>
      </c>
      <c r="F38" s="76">
        <v>0</v>
      </c>
      <c r="G38" s="76">
        <v>0</v>
      </c>
      <c r="H38" s="78">
        <v>2</v>
      </c>
      <c r="I38" s="74">
        <f>SUM(B38:H38)</f>
        <v>6</v>
      </c>
      <c r="J38" s="69" t="s">
        <v>33</v>
      </c>
      <c r="L38" s="171">
        <v>35.347033451699367</v>
      </c>
      <c r="M38" s="171">
        <v>0.33738097315262938</v>
      </c>
      <c r="N38" s="171">
        <v>54.604251861572273</v>
      </c>
      <c r="O38" s="172">
        <f t="shared" si="0"/>
        <v>19.257218409872905</v>
      </c>
    </row>
    <row r="39" spans="1:15" ht="17" x14ac:dyDescent="0.2">
      <c r="A39" s="69" t="s">
        <v>41</v>
      </c>
      <c r="B39" s="75">
        <v>3.5</v>
      </c>
      <c r="C39" s="76">
        <v>0</v>
      </c>
      <c r="D39" s="76">
        <v>2</v>
      </c>
      <c r="E39" s="77">
        <v>0</v>
      </c>
      <c r="F39" s="77">
        <v>0</v>
      </c>
      <c r="G39" s="76">
        <v>0.5</v>
      </c>
      <c r="H39" s="78">
        <v>0</v>
      </c>
      <c r="I39" s="74">
        <f t="shared" si="1"/>
        <v>6</v>
      </c>
      <c r="J39" s="69" t="s">
        <v>41</v>
      </c>
      <c r="L39" s="171">
        <v>57.750590961250943</v>
      </c>
      <c r="M39" s="171">
        <v>3.3019160106262206</v>
      </c>
      <c r="N39" s="171">
        <v>62.886024475097663</v>
      </c>
      <c r="O39" s="172">
        <f t="shared" si="0"/>
        <v>5.1354335138467206</v>
      </c>
    </row>
    <row r="40" spans="1:15" ht="17" x14ac:dyDescent="0.2">
      <c r="A40" s="69" t="s">
        <v>49</v>
      </c>
      <c r="B40" s="75">
        <v>0</v>
      </c>
      <c r="C40" s="76">
        <v>0</v>
      </c>
      <c r="D40" s="76">
        <v>3.5</v>
      </c>
      <c r="E40" s="77">
        <v>2.5</v>
      </c>
      <c r="F40" s="76">
        <v>0</v>
      </c>
      <c r="G40" s="76">
        <v>0</v>
      </c>
      <c r="H40" s="78">
        <v>0</v>
      </c>
      <c r="I40" s="74">
        <f t="shared" si="1"/>
        <v>6</v>
      </c>
      <c r="J40" s="69" t="s">
        <v>49</v>
      </c>
      <c r="L40" s="171">
        <v>27.339527950465111</v>
      </c>
      <c r="M40" s="171">
        <v>2.0316971043216925</v>
      </c>
      <c r="N40" s="171">
        <v>58.987751007080078</v>
      </c>
      <c r="O40" s="172">
        <f t="shared" si="0"/>
        <v>31.648223056614967</v>
      </c>
    </row>
    <row r="41" spans="1:15" ht="17" x14ac:dyDescent="0.2">
      <c r="A41" s="69" t="s">
        <v>9</v>
      </c>
      <c r="B41" s="70">
        <v>5.5</v>
      </c>
      <c r="C41" s="71">
        <v>0</v>
      </c>
      <c r="D41" s="71">
        <v>0.5</v>
      </c>
      <c r="E41" s="72">
        <v>0</v>
      </c>
      <c r="F41" s="71">
        <v>0</v>
      </c>
      <c r="G41" s="71">
        <v>0</v>
      </c>
      <c r="H41" s="74">
        <v>0</v>
      </c>
      <c r="I41" s="74">
        <f t="shared" si="1"/>
        <v>6</v>
      </c>
      <c r="J41" s="69" t="s">
        <v>9</v>
      </c>
      <c r="L41" s="171">
        <v>6.2117487222983536</v>
      </c>
      <c r="M41" s="171">
        <v>1.7162090822244433</v>
      </c>
      <c r="N41" s="171">
        <v>30.8187141418457</v>
      </c>
      <c r="O41" s="172">
        <f t="shared" si="0"/>
        <v>24.606965419547347</v>
      </c>
    </row>
    <row r="42" spans="1:15" ht="17" x14ac:dyDescent="0.2">
      <c r="A42" s="69" t="s">
        <v>18</v>
      </c>
      <c r="B42" s="70">
        <v>3</v>
      </c>
      <c r="C42" s="71">
        <v>0</v>
      </c>
      <c r="D42" s="71">
        <v>0</v>
      </c>
      <c r="E42" s="72">
        <v>0</v>
      </c>
      <c r="F42" s="71">
        <v>0</v>
      </c>
      <c r="G42" s="71">
        <v>0</v>
      </c>
      <c r="H42" s="74">
        <v>2.5</v>
      </c>
      <c r="I42" s="74">
        <f t="shared" si="1"/>
        <v>5.5</v>
      </c>
      <c r="J42" s="69" t="s">
        <v>18</v>
      </c>
      <c r="L42" s="171">
        <v>25.918948279419965</v>
      </c>
      <c r="M42" s="171">
        <v>2.8289578978925092</v>
      </c>
      <c r="N42" s="171">
        <v>29.975961685180661</v>
      </c>
      <c r="O42" s="172">
        <f t="shared" si="0"/>
        <v>4.0570134057606957</v>
      </c>
    </row>
    <row r="43" spans="1:15" ht="17" x14ac:dyDescent="0.2">
      <c r="A43" s="69" t="s">
        <v>26</v>
      </c>
      <c r="B43" s="70">
        <v>3</v>
      </c>
      <c r="C43" s="71">
        <v>2.5</v>
      </c>
      <c r="D43" s="71">
        <v>0.5</v>
      </c>
      <c r="E43" s="72">
        <v>0</v>
      </c>
      <c r="F43" s="71">
        <v>0</v>
      </c>
      <c r="G43" s="71">
        <v>0</v>
      </c>
      <c r="H43" s="74">
        <v>0</v>
      </c>
      <c r="I43" s="74">
        <f t="shared" si="1"/>
        <v>6</v>
      </c>
      <c r="J43" s="69" t="s">
        <v>26</v>
      </c>
      <c r="L43" s="171">
        <v>23.155297473247639</v>
      </c>
      <c r="M43" s="171">
        <v>1.6554439150237135</v>
      </c>
      <c r="N43" s="171">
        <v>32.904003143310547</v>
      </c>
      <c r="O43" s="172">
        <f t="shared" si="0"/>
        <v>9.7487056700629076</v>
      </c>
    </row>
    <row r="44" spans="1:15" ht="17" x14ac:dyDescent="0.2">
      <c r="A44" s="69" t="s">
        <v>34</v>
      </c>
      <c r="B44" s="70">
        <v>0</v>
      </c>
      <c r="C44" s="71">
        <v>0</v>
      </c>
      <c r="D44" s="71">
        <v>0</v>
      </c>
      <c r="E44" s="72">
        <v>0.5</v>
      </c>
      <c r="F44" s="71">
        <v>5.5</v>
      </c>
      <c r="G44" s="71">
        <v>0</v>
      </c>
      <c r="H44" s="74">
        <v>0</v>
      </c>
      <c r="I44" s="74">
        <f t="shared" si="1"/>
        <v>6</v>
      </c>
      <c r="J44" s="69" t="s">
        <v>34</v>
      </c>
      <c r="L44" s="171">
        <v>16.472147385078923</v>
      </c>
      <c r="M44" s="171">
        <v>5.3999846352396101</v>
      </c>
      <c r="N44" s="171">
        <v>30.81153678894043</v>
      </c>
      <c r="O44" s="172">
        <f t="shared" si="0"/>
        <v>14.339389403861507</v>
      </c>
    </row>
    <row r="45" spans="1:15" ht="17" x14ac:dyDescent="0.2">
      <c r="A45" s="69" t="s">
        <v>42</v>
      </c>
      <c r="B45" s="70">
        <v>0</v>
      </c>
      <c r="C45" s="71">
        <v>0</v>
      </c>
      <c r="D45" s="71">
        <v>5.5</v>
      </c>
      <c r="E45" s="72">
        <v>0</v>
      </c>
      <c r="F45" s="71">
        <v>0</v>
      </c>
      <c r="G45" s="71">
        <v>0</v>
      </c>
      <c r="H45" s="74">
        <v>0</v>
      </c>
      <c r="I45" s="81">
        <f t="shared" si="1"/>
        <v>5.5</v>
      </c>
      <c r="J45" s="69" t="s">
        <v>42</v>
      </c>
      <c r="L45" s="171">
        <v>73.611945894085977</v>
      </c>
      <c r="M45" s="171">
        <v>6.3570067014269398</v>
      </c>
      <c r="N45" s="171">
        <v>83.634742736816406</v>
      </c>
      <c r="O45" s="172">
        <f t="shared" si="0"/>
        <v>10.022796842730429</v>
      </c>
    </row>
    <row r="46" spans="1:15" ht="17" x14ac:dyDescent="0.2">
      <c r="A46" s="69" t="s">
        <v>50</v>
      </c>
      <c r="B46" s="70">
        <v>3</v>
      </c>
      <c r="C46" s="71">
        <v>0</v>
      </c>
      <c r="D46" s="71">
        <v>2</v>
      </c>
      <c r="E46" s="71">
        <v>0.5</v>
      </c>
      <c r="F46" s="71">
        <v>0</v>
      </c>
      <c r="G46" s="71">
        <v>0</v>
      </c>
      <c r="H46" s="74">
        <v>0</v>
      </c>
      <c r="I46" s="81">
        <f t="shared" si="1"/>
        <v>5.5</v>
      </c>
      <c r="J46" s="69" t="s">
        <v>50</v>
      </c>
      <c r="L46" s="171">
        <v>62.44599678679085</v>
      </c>
      <c r="M46" s="171">
        <v>6.7333150836639257</v>
      </c>
      <c r="N46" s="171">
        <v>77.670196533203125</v>
      </c>
      <c r="O46" s="172">
        <f t="shared" si="0"/>
        <v>15.224199746412275</v>
      </c>
    </row>
    <row r="47" spans="1:15" ht="17" x14ac:dyDescent="0.2">
      <c r="A47" s="69" t="s">
        <v>114</v>
      </c>
      <c r="B47" s="70">
        <v>1</v>
      </c>
      <c r="C47" s="71">
        <v>0</v>
      </c>
      <c r="D47" s="71">
        <v>3.5</v>
      </c>
      <c r="E47" s="72">
        <v>1</v>
      </c>
      <c r="F47" s="71">
        <v>0</v>
      </c>
      <c r="G47" s="71">
        <v>0</v>
      </c>
      <c r="H47" s="73">
        <v>0</v>
      </c>
      <c r="I47" s="74">
        <f>SUM(B47:H47)</f>
        <v>5.5</v>
      </c>
      <c r="J47" s="69" t="s">
        <v>114</v>
      </c>
      <c r="L47" s="171">
        <v>56.740320291911615</v>
      </c>
      <c r="M47" s="171">
        <v>1.12189929609732</v>
      </c>
      <c r="N47" s="171">
        <v>78.718910217285156</v>
      </c>
      <c r="O47" s="172">
        <f t="shared" si="0"/>
        <v>21.978589925373541</v>
      </c>
    </row>
    <row r="48" spans="1:15" ht="17" x14ac:dyDescent="0.2">
      <c r="A48" s="69" t="s">
        <v>115</v>
      </c>
      <c r="B48" s="70">
        <v>2.5</v>
      </c>
      <c r="C48" s="71">
        <v>0</v>
      </c>
      <c r="D48" s="71">
        <v>3.5</v>
      </c>
      <c r="E48" s="71">
        <v>0</v>
      </c>
      <c r="F48" s="71">
        <v>0</v>
      </c>
      <c r="G48" s="71">
        <v>0</v>
      </c>
      <c r="H48" s="73">
        <v>0</v>
      </c>
      <c r="I48" s="74">
        <f>SUM(B48:H48)</f>
        <v>6</v>
      </c>
      <c r="J48" s="69" t="s">
        <v>115</v>
      </c>
      <c r="L48" s="171">
        <v>56.399756740320292</v>
      </c>
      <c r="M48" s="171">
        <v>4.4152134466801467</v>
      </c>
      <c r="N48" s="171">
        <v>77.787338256835938</v>
      </c>
      <c r="O48" s="172">
        <f t="shared" si="0"/>
        <v>21.387581516515645</v>
      </c>
    </row>
    <row r="49" spans="1:15" ht="17" x14ac:dyDescent="0.2">
      <c r="A49" s="69" t="s">
        <v>116</v>
      </c>
      <c r="B49" s="70">
        <v>0</v>
      </c>
      <c r="C49" s="71">
        <v>0</v>
      </c>
      <c r="D49" s="71">
        <v>4.5</v>
      </c>
      <c r="E49" s="71">
        <v>0</v>
      </c>
      <c r="F49" s="71">
        <v>1</v>
      </c>
      <c r="G49" s="71">
        <v>0</v>
      </c>
      <c r="H49" s="73">
        <v>0</v>
      </c>
      <c r="I49" s="74">
        <f t="shared" ref="I49:I50" si="2">SUM(B49:H49)</f>
        <v>5.5</v>
      </c>
      <c r="J49" s="69" t="s">
        <v>116</v>
      </c>
      <c r="L49" s="171">
        <v>66.130143928643832</v>
      </c>
      <c r="M49" s="171">
        <v>4.1789011058579799</v>
      </c>
      <c r="N49" s="171">
        <v>78.200279235839844</v>
      </c>
      <c r="O49" s="172">
        <f t="shared" si="0"/>
        <v>12.070135307196011</v>
      </c>
    </row>
    <row r="50" spans="1:15" ht="17" x14ac:dyDescent="0.2">
      <c r="A50" s="69" t="s">
        <v>117</v>
      </c>
      <c r="B50" s="70">
        <v>1.5</v>
      </c>
      <c r="C50" s="71">
        <v>0</v>
      </c>
      <c r="D50" s="71">
        <v>4.5</v>
      </c>
      <c r="E50" s="71">
        <v>0</v>
      </c>
      <c r="F50" s="71">
        <v>0</v>
      </c>
      <c r="G50" s="71">
        <v>0</v>
      </c>
      <c r="H50" s="73">
        <v>0</v>
      </c>
      <c r="I50" s="74">
        <f t="shared" si="2"/>
        <v>6</v>
      </c>
      <c r="J50" s="69" t="s">
        <v>117</v>
      </c>
      <c r="L50" s="171">
        <v>68.708696533549571</v>
      </c>
      <c r="M50" s="171">
        <v>4.428462127855787</v>
      </c>
      <c r="N50" s="171">
        <v>78.288116455078125</v>
      </c>
      <c r="O50" s="172">
        <f t="shared" si="0"/>
        <v>9.5794199215285545</v>
      </c>
    </row>
  </sheetData>
  <mergeCells count="2">
    <mergeCell ref="A2:H2"/>
    <mergeCell ref="B3:E3"/>
  </mergeCells>
  <conditionalFormatting sqref="O5:O5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Plate Layout</vt:lpstr>
      <vt:lpstr>Math</vt:lpstr>
      <vt:lpstr>1-46</vt:lpstr>
      <vt:lpstr>summary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Callahan-Muller</dc:creator>
  <cp:lastModifiedBy>Sandlin, Rebecca D.</cp:lastModifiedBy>
  <dcterms:created xsi:type="dcterms:W3CDTF">2024-03-14T02:02:14Z</dcterms:created>
  <dcterms:modified xsi:type="dcterms:W3CDTF">2024-03-14T14:29:33Z</dcterms:modified>
</cp:coreProperties>
</file>