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Generated CPAs/"/>
    </mc:Choice>
  </mc:AlternateContent>
  <xr:revisionPtr revIDLastSave="0" documentId="13_ncr:1_{96BFD3DE-777F-9948-93CE-CB1C5A2D0B5A}" xr6:coauthVersionLast="47" xr6:coauthVersionMax="47" xr10:uidLastSave="{00000000-0000-0000-0000-000000000000}"/>
  <bookViews>
    <workbookView xWindow="0" yWindow="500" windowWidth="35840" windowHeight="20060" xr2:uid="{DA139F17-B54F-0844-880A-D4DA19EFF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<sst xmlns="http://schemas.openxmlformats.org/spreadsheetml/2006/main" count="54" uniqueCount="54">
  <si>
    <t>CPA</t>
  </si>
  <si>
    <t>Glycerol 6M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</si>
  <si>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</si>
  <si>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</si>
  <si>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</si>
  <si>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</si>
  <si>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</si>
  <si>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</si>
  <si>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</si>
  <si>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</si>
  <si>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Experimental Viability</t>
  </si>
  <si>
    <t>SD</t>
  </si>
  <si>
    <t>CMU 47</t>
  </si>
  <si>
    <t>CMU 48</t>
  </si>
  <si>
    <t>CMU 49</t>
  </si>
  <si>
    <t>CMU 50</t>
  </si>
  <si>
    <t>CMU 51</t>
  </si>
  <si>
    <t>CMU 52</t>
  </si>
  <si>
    <t>CMU 53</t>
  </si>
  <si>
    <t>CMU 54</t>
  </si>
  <si>
    <t>CMU 55</t>
  </si>
  <si>
    <t>CMU 56</t>
  </si>
  <si>
    <t>CMU 57</t>
  </si>
  <si>
    <t>CMU 58</t>
  </si>
  <si>
    <t>CMU 59</t>
  </si>
  <si>
    <t>CMU 60</t>
  </si>
  <si>
    <t>CMU 61</t>
  </si>
  <si>
    <t>CMU 62</t>
  </si>
  <si>
    <t>CMU 63</t>
  </si>
  <si>
    <t>CMU 64</t>
  </si>
  <si>
    <t>CMU 65</t>
  </si>
  <si>
    <t>CMU 66</t>
  </si>
  <si>
    <t>CMU 67</t>
  </si>
  <si>
    <t>CMU 68</t>
  </si>
  <si>
    <t>CMU 69</t>
  </si>
  <si>
    <t>CMU 70</t>
  </si>
  <si>
    <t>CMU 71</t>
  </si>
  <si>
    <t>CMU 72</t>
  </si>
  <si>
    <t>CMU 73</t>
  </si>
  <si>
    <t>CMU 74</t>
  </si>
  <si>
    <t>CMU 75</t>
  </si>
  <si>
    <t>CMU 76</t>
  </si>
  <si>
    <t>CMU 77</t>
  </si>
  <si>
    <t>CMU 78</t>
  </si>
  <si>
    <t>CMU 79</t>
  </si>
  <si>
    <t>CMU 80</t>
  </si>
  <si>
    <t>CMU 81</t>
  </si>
  <si>
    <t>CMU 82</t>
  </si>
  <si>
    <t>CMU 83</t>
  </si>
  <si>
    <t>CMU 84</t>
  </si>
  <si>
    <t>CMU 85</t>
  </si>
  <si>
    <t>CMU 86</t>
  </si>
  <si>
    <t>CMU 87</t>
  </si>
  <si>
    <t>CMU 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</si>
</sst>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8A7C-5735-F342-B7A2-E33FBF81794C}">
  <dimension ref="A1:L43"/>
  <sheetViews>
    <sheetView tabSelected="1" workbookViewId="0">
      <selection sqref="A1:L1048576"/>
    </sheetView>
  </sheetViews>
  <sheetFormatPr baseColWidth="10" defaultRowHeight="16" x14ac:dyDescent="0.2"/>
  <cols>
    <col min="9" max="9" width="12.1640625" bestFit="1" customWidth="1"/>
    <col min="10" max="10" width="15.83203125" bestFit="1" customWidth="1"/>
    <col min="11" max="11" width="18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 x14ac:dyDescent="0.2">
      <c r="A2" s="1" t="s">
        <v>12</v>
      </c>
      <c r="B2" s="2">
        <v>4.5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f>SUM(B2:H2)</f>
        <v>5.5</v>
      </c>
      <c r="J2" s="3">
        <v>38.788020986035903</v>
      </c>
      <c r="K2">
        <v>34.78845130671602</v>
      </c>
      <c r="L2">
        <v>6.7989207499999997</v>
      </c>
    </row>
    <row r="3" spans="1:12" ht="17" x14ac:dyDescent="0.2">
      <c r="A3" s="1" t="s">
        <v>13</v>
      </c>
      <c r="B3" s="2">
        <v>0</v>
      </c>
      <c r="C3" s="2">
        <v>2.5</v>
      </c>
      <c r="D3" s="2">
        <v>3.5</v>
      </c>
      <c r="E3" s="2">
        <v>0</v>
      </c>
      <c r="F3" s="2">
        <v>0</v>
      </c>
      <c r="G3" s="2">
        <v>0</v>
      </c>
      <c r="H3" s="2">
        <v>0</v>
      </c>
      <c r="I3" s="2">
        <f>SUM(B3:H3)</f>
        <v>6</v>
      </c>
      <c r="J3" s="3">
        <v>36.713272612577263</v>
      </c>
      <c r="K3">
        <v>40.584606398073234</v>
      </c>
      <c r="L3">
        <v>9.6063967300000002</v>
      </c>
    </row>
    <row r="4" spans="1:12" ht="17" x14ac:dyDescent="0.2">
      <c r="A4" s="1" t="s">
        <v>14</v>
      </c>
      <c r="B4" s="2">
        <v>0</v>
      </c>
      <c r="C4" s="2">
        <v>0</v>
      </c>
      <c r="D4" s="2">
        <v>4</v>
      </c>
      <c r="E4" s="2">
        <v>0</v>
      </c>
      <c r="F4" s="2">
        <v>0</v>
      </c>
      <c r="G4" s="2">
        <v>0</v>
      </c>
      <c r="H4" s="2">
        <v>2</v>
      </c>
      <c r="I4" s="2">
        <f t="shared" ref="I4:I43" si="0">SUM(B4:H4)</f>
        <v>6</v>
      </c>
      <c r="J4" s="3">
        <v>38.74710599424624</v>
      </c>
      <c r="K4">
        <v>51.912188631560682</v>
      </c>
      <c r="L4">
        <v>4.7811419099999997</v>
      </c>
    </row>
    <row r="5" spans="1:12" ht="17" x14ac:dyDescent="0.2">
      <c r="A5" s="1" t="s">
        <v>15</v>
      </c>
      <c r="B5" s="2">
        <v>3</v>
      </c>
      <c r="C5" s="2">
        <v>0</v>
      </c>
      <c r="D5" s="2">
        <v>0</v>
      </c>
      <c r="E5" s="2">
        <v>2.5</v>
      </c>
      <c r="F5" s="2">
        <v>0</v>
      </c>
      <c r="G5" s="2">
        <v>0</v>
      </c>
      <c r="H5" s="2">
        <v>0</v>
      </c>
      <c r="I5" s="2">
        <f t="shared" si="0"/>
        <v>5.5</v>
      </c>
      <c r="J5" s="3">
        <v>37.359065108749647</v>
      </c>
      <c r="K5">
        <v>48.061387805298104</v>
      </c>
      <c r="L5">
        <v>3.9887852800000001</v>
      </c>
    </row>
    <row r="6" spans="1:12" ht="17" x14ac:dyDescent="0.2">
      <c r="A6" s="1" t="s">
        <v>16</v>
      </c>
      <c r="B6" s="2">
        <v>5.5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0.5</v>
      </c>
      <c r="I6" s="2">
        <f t="shared" si="0"/>
        <v>6</v>
      </c>
      <c r="J6" s="3">
        <v>9.9403089774472697</v>
      </c>
      <c r="K6">
        <v>6.6006067157874124</v>
      </c>
      <c r="L6">
        <v>4.6423010800000002</v>
      </c>
    </row>
    <row r="7" spans="1:12" ht="17" x14ac:dyDescent="0.2">
      <c r="A7" s="1" t="s">
        <v>17</v>
      </c>
      <c r="B7" s="2">
        <v>0</v>
      </c>
      <c r="C7" s="2">
        <v>5.5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f t="shared" si="0"/>
        <v>5.5</v>
      </c>
      <c r="J7" s="3">
        <v>8.576115294224115</v>
      </c>
      <c r="K7">
        <v>3.2633590814363158</v>
      </c>
      <c r="L7">
        <v>1.9584888199999999</v>
      </c>
    </row>
    <row r="8" spans="1:12" ht="17" x14ac:dyDescent="0.2">
      <c r="A8" s="1" t="s">
        <v>18</v>
      </c>
      <c r="B8" s="2">
        <v>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4</v>
      </c>
      <c r="I8" s="2">
        <f t="shared" si="0"/>
        <v>6</v>
      </c>
      <c r="J8" s="3">
        <v>10.301887091667339</v>
      </c>
      <c r="K8">
        <v>2.4661303587025132</v>
      </c>
      <c r="L8">
        <v>1.08445941</v>
      </c>
    </row>
    <row r="9" spans="1:12" ht="17" x14ac:dyDescent="0.2">
      <c r="A9" s="1" t="s">
        <v>19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3</v>
      </c>
      <c r="I9" s="2">
        <f t="shared" si="0"/>
        <v>6</v>
      </c>
      <c r="J9" s="3">
        <v>9.0231887406846525</v>
      </c>
      <c r="K9">
        <v>10.382659826938513</v>
      </c>
      <c r="L9">
        <v>2.8906984100000002</v>
      </c>
    </row>
    <row r="10" spans="1:12" ht="17" x14ac:dyDescent="0.2">
      <c r="A10" s="1" t="s">
        <v>20</v>
      </c>
      <c r="B10" s="2">
        <v>0</v>
      </c>
      <c r="C10" s="2">
        <v>0</v>
      </c>
      <c r="D10" s="2">
        <v>4</v>
      </c>
      <c r="E10" s="2">
        <v>0.5</v>
      </c>
      <c r="F10" s="2">
        <v>0</v>
      </c>
      <c r="G10" s="2">
        <v>0</v>
      </c>
      <c r="H10" s="2">
        <v>1</v>
      </c>
      <c r="I10" s="2">
        <f t="shared" si="0"/>
        <v>5.5</v>
      </c>
      <c r="J10" s="3">
        <v>62.078101200266609</v>
      </c>
      <c r="K10">
        <v>64.534445680196157</v>
      </c>
      <c r="L10">
        <v>3.4535366000000001</v>
      </c>
    </row>
    <row r="11" spans="1:12" ht="17" x14ac:dyDescent="0.2">
      <c r="A11" s="1" t="s">
        <v>21</v>
      </c>
      <c r="B11" s="2">
        <v>1.5</v>
      </c>
      <c r="C11" s="2">
        <v>0</v>
      </c>
      <c r="D11" s="2">
        <v>3.5</v>
      </c>
      <c r="E11" s="2">
        <v>0</v>
      </c>
      <c r="F11" s="2">
        <v>0</v>
      </c>
      <c r="G11" s="2">
        <v>0.5</v>
      </c>
      <c r="H11" s="2">
        <v>0</v>
      </c>
      <c r="I11" s="2">
        <f>SUM(B11:H11)</f>
        <v>5.5</v>
      </c>
      <c r="J11" s="3">
        <v>69.525557362985339</v>
      </c>
      <c r="K11">
        <v>69.255724393941506</v>
      </c>
      <c r="L11">
        <v>3.7029377800000001</v>
      </c>
    </row>
    <row r="12" spans="1:12" ht="17" x14ac:dyDescent="0.2">
      <c r="A12" s="1" t="s">
        <v>22</v>
      </c>
      <c r="B12" s="2">
        <v>0</v>
      </c>
      <c r="C12" s="2">
        <v>0</v>
      </c>
      <c r="D12" s="2">
        <v>3.5</v>
      </c>
      <c r="E12" s="2">
        <v>0</v>
      </c>
      <c r="F12" s="2">
        <v>0</v>
      </c>
      <c r="G12" s="2">
        <v>1.5</v>
      </c>
      <c r="H12" s="2">
        <v>0</v>
      </c>
      <c r="I12" s="2">
        <f t="shared" si="0"/>
        <v>5</v>
      </c>
      <c r="J12" s="3">
        <v>67.907725850403807</v>
      </c>
      <c r="K12">
        <v>61.893630606112936</v>
      </c>
      <c r="L12">
        <v>11.1968862</v>
      </c>
    </row>
    <row r="13" spans="1:12" ht="17" x14ac:dyDescent="0.2">
      <c r="A13" s="1" t="s">
        <v>23</v>
      </c>
      <c r="B13" s="2">
        <v>0</v>
      </c>
      <c r="C13" s="2">
        <v>0</v>
      </c>
      <c r="D13" s="2">
        <v>3.5</v>
      </c>
      <c r="E13" s="2">
        <v>0</v>
      </c>
      <c r="F13" s="2">
        <v>1.5</v>
      </c>
      <c r="G13" s="2">
        <v>0</v>
      </c>
      <c r="H13" s="2">
        <v>0</v>
      </c>
      <c r="I13" s="2">
        <f t="shared" si="0"/>
        <v>5</v>
      </c>
      <c r="J13" s="3">
        <v>65.42999400235486</v>
      </c>
      <c r="K13">
        <v>83.725240948091127</v>
      </c>
      <c r="L13">
        <v>2.3202115600000002</v>
      </c>
    </row>
    <row r="14" spans="1:12" ht="17" x14ac:dyDescent="0.2">
      <c r="A14" s="1" t="s">
        <v>24</v>
      </c>
      <c r="B14" s="2">
        <v>0</v>
      </c>
      <c r="C14" s="2">
        <v>0.5</v>
      </c>
      <c r="D14" s="2">
        <v>4</v>
      </c>
      <c r="E14" s="2">
        <v>0</v>
      </c>
      <c r="F14" s="2">
        <v>0</v>
      </c>
      <c r="G14" s="2">
        <v>0</v>
      </c>
      <c r="H14" s="2">
        <v>1.5</v>
      </c>
      <c r="I14" s="2">
        <f t="shared" si="0"/>
        <v>6</v>
      </c>
      <c r="J14" s="3">
        <v>45.985379444584702</v>
      </c>
      <c r="K14">
        <v>42.159598113776362</v>
      </c>
      <c r="L14">
        <v>2.5539798899999999</v>
      </c>
    </row>
    <row r="15" spans="1:12" ht="17" x14ac:dyDescent="0.2">
      <c r="A15" s="1" t="s">
        <v>25</v>
      </c>
      <c r="B15" s="2">
        <v>3.5</v>
      </c>
      <c r="C15" s="2">
        <v>0</v>
      </c>
      <c r="D15" s="2">
        <v>2.5</v>
      </c>
      <c r="E15" s="2">
        <v>0</v>
      </c>
      <c r="F15" s="2">
        <v>0</v>
      </c>
      <c r="G15" s="2">
        <v>0</v>
      </c>
      <c r="H15" s="2">
        <v>0</v>
      </c>
      <c r="I15" s="2">
        <f t="shared" si="0"/>
        <v>6</v>
      </c>
      <c r="J15" s="3">
        <v>49.32613863978154</v>
      </c>
      <c r="K15">
        <v>54.18057477779189</v>
      </c>
      <c r="L15">
        <v>0.92978174999999996</v>
      </c>
    </row>
    <row r="16" spans="1:12" ht="17" x14ac:dyDescent="0.2">
      <c r="A16" s="1" t="s">
        <v>26</v>
      </c>
      <c r="B16" s="2">
        <v>0</v>
      </c>
      <c r="C16" s="2">
        <v>0</v>
      </c>
      <c r="D16" s="2">
        <v>0.5</v>
      </c>
      <c r="E16" s="2">
        <v>0</v>
      </c>
      <c r="F16" s="2">
        <v>0</v>
      </c>
      <c r="G16" s="2">
        <v>4</v>
      </c>
      <c r="H16" s="2">
        <v>0</v>
      </c>
      <c r="I16" s="2">
        <f t="shared" si="0"/>
        <v>4.5</v>
      </c>
      <c r="J16" s="3">
        <v>45.458586499558471</v>
      </c>
      <c r="K16">
        <v>35.17197982540786</v>
      </c>
      <c r="L16">
        <v>7.0936155000000003</v>
      </c>
    </row>
    <row r="17" spans="1:12" ht="17" x14ac:dyDescent="0.2">
      <c r="A17" s="1" t="s">
        <v>27</v>
      </c>
      <c r="B17" s="2">
        <v>0</v>
      </c>
      <c r="C17" s="2">
        <v>0</v>
      </c>
      <c r="D17" s="2">
        <v>0</v>
      </c>
      <c r="E17" s="2">
        <v>2</v>
      </c>
      <c r="F17" s="2">
        <v>0</v>
      </c>
      <c r="G17" s="2">
        <v>0</v>
      </c>
      <c r="H17" s="2">
        <v>1.5</v>
      </c>
      <c r="I17" s="2">
        <f t="shared" si="0"/>
        <v>3.5</v>
      </c>
      <c r="J17" s="3">
        <v>48.01831281614411</v>
      </c>
      <c r="K17">
        <v>50.986398875534448</v>
      </c>
      <c r="L17">
        <v>6.5528709899999997</v>
      </c>
    </row>
    <row r="18" spans="1:12" ht="17" x14ac:dyDescent="0.2">
      <c r="A18" s="1" t="s">
        <v>28</v>
      </c>
      <c r="B18" s="2">
        <v>0</v>
      </c>
      <c r="C18" s="2">
        <v>0</v>
      </c>
      <c r="D18" s="2">
        <v>3</v>
      </c>
      <c r="E18" s="2">
        <v>0.5</v>
      </c>
      <c r="F18" s="2">
        <v>0</v>
      </c>
      <c r="G18" s="2">
        <v>0</v>
      </c>
      <c r="H18" s="2">
        <v>2.5</v>
      </c>
      <c r="I18" s="2">
        <f t="shared" si="0"/>
        <v>6</v>
      </c>
      <c r="J18" s="3">
        <v>23.06144320442645</v>
      </c>
      <c r="K18">
        <v>37.655987758908694</v>
      </c>
      <c r="L18">
        <v>3.4791569400000002</v>
      </c>
    </row>
    <row r="19" spans="1:12" ht="17" x14ac:dyDescent="0.2">
      <c r="A19" s="1" t="s">
        <v>29</v>
      </c>
      <c r="B19" s="2">
        <v>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3</v>
      </c>
      <c r="I19" s="2">
        <f t="shared" si="0"/>
        <v>5</v>
      </c>
      <c r="J19" s="3">
        <v>22.09300637398519</v>
      </c>
      <c r="K19">
        <v>27.710027254849855</v>
      </c>
      <c r="L19">
        <v>14.5650066</v>
      </c>
    </row>
    <row r="20" spans="1:12" ht="17" x14ac:dyDescent="0.2">
      <c r="A20" s="1" t="s">
        <v>30</v>
      </c>
      <c r="B20" s="2">
        <v>0</v>
      </c>
      <c r="C20" s="2">
        <v>0</v>
      </c>
      <c r="D20" s="2">
        <v>3</v>
      </c>
      <c r="E20" s="2">
        <v>3</v>
      </c>
      <c r="F20" s="2">
        <v>0</v>
      </c>
      <c r="G20" s="2">
        <v>0</v>
      </c>
      <c r="H20" s="2">
        <v>0</v>
      </c>
      <c r="I20" s="2">
        <f t="shared" si="0"/>
        <v>6</v>
      </c>
      <c r="J20" s="3">
        <v>25.511379374519581</v>
      </c>
      <c r="K20">
        <v>29.590341904379773</v>
      </c>
      <c r="L20">
        <v>3.07487632</v>
      </c>
    </row>
    <row r="21" spans="1:12" ht="17" x14ac:dyDescent="0.2">
      <c r="A21" s="1" t="s">
        <v>31</v>
      </c>
      <c r="B21" s="2">
        <v>2</v>
      </c>
      <c r="C21" s="2">
        <v>2</v>
      </c>
      <c r="D21" s="2">
        <v>0</v>
      </c>
      <c r="E21" s="2">
        <v>2</v>
      </c>
      <c r="F21" s="2">
        <v>0</v>
      </c>
      <c r="G21" s="2">
        <v>0</v>
      </c>
      <c r="H21" s="2">
        <v>0</v>
      </c>
      <c r="I21" s="2">
        <f t="shared" si="0"/>
        <v>6</v>
      </c>
      <c r="J21" s="3">
        <v>23.096584351426412</v>
      </c>
      <c r="K21">
        <v>30.198105390579975</v>
      </c>
      <c r="L21">
        <v>5.0548734199999998</v>
      </c>
    </row>
    <row r="22" spans="1:12" ht="17" x14ac:dyDescent="0.2">
      <c r="A22" s="1" t="s">
        <v>32</v>
      </c>
      <c r="B22" s="2">
        <v>0</v>
      </c>
      <c r="C22" s="2">
        <v>0</v>
      </c>
      <c r="D22" s="2">
        <v>1</v>
      </c>
      <c r="E22" s="2">
        <v>0</v>
      </c>
      <c r="F22" s="2">
        <v>0.5</v>
      </c>
      <c r="G22" s="2">
        <v>2</v>
      </c>
      <c r="H22" s="2">
        <v>0</v>
      </c>
      <c r="I22" s="2">
        <f t="shared" si="0"/>
        <v>3.5</v>
      </c>
      <c r="J22" s="3">
        <v>72.40733153921073</v>
      </c>
      <c r="K22">
        <v>76.072118478969244</v>
      </c>
      <c r="L22">
        <v>4.51783834</v>
      </c>
    </row>
    <row r="23" spans="1:12" ht="17" x14ac:dyDescent="0.2">
      <c r="A23" s="1" t="s">
        <v>33</v>
      </c>
      <c r="B23" s="2">
        <v>0</v>
      </c>
      <c r="C23" s="2">
        <v>0</v>
      </c>
      <c r="D23" s="2">
        <v>1</v>
      </c>
      <c r="E23" s="2">
        <v>1</v>
      </c>
      <c r="F23" s="2">
        <v>1.5</v>
      </c>
      <c r="G23" s="2">
        <v>0</v>
      </c>
      <c r="H23" s="2">
        <v>0</v>
      </c>
      <c r="I23" s="2">
        <f t="shared" si="0"/>
        <v>3.5</v>
      </c>
      <c r="J23" s="3">
        <v>73.192915995635985</v>
      </c>
      <c r="K23">
        <v>83.998772485353584</v>
      </c>
      <c r="L23">
        <v>3.6695928200000001</v>
      </c>
    </row>
    <row r="24" spans="1:12" ht="17" x14ac:dyDescent="0.2">
      <c r="A24" s="1" t="s">
        <v>34</v>
      </c>
      <c r="B24" s="2">
        <v>0</v>
      </c>
      <c r="C24" s="2">
        <v>0</v>
      </c>
      <c r="D24" s="2">
        <v>0.5</v>
      </c>
      <c r="E24" s="2">
        <v>1.5</v>
      </c>
      <c r="F24" s="2">
        <v>0.5</v>
      </c>
      <c r="G24" s="2">
        <v>1</v>
      </c>
      <c r="H24" s="2">
        <v>0</v>
      </c>
      <c r="I24" s="2">
        <f t="shared" si="0"/>
        <v>3.5</v>
      </c>
      <c r="J24" s="3">
        <v>73.337734560440268</v>
      </c>
      <c r="K24">
        <v>85.745693796804744</v>
      </c>
      <c r="L24">
        <v>3.9781215099999998</v>
      </c>
    </row>
    <row r="25" spans="1:12" ht="17" x14ac:dyDescent="0.2">
      <c r="A25" s="1" t="s">
        <v>35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1</v>
      </c>
      <c r="H25" s="2">
        <v>0.5</v>
      </c>
      <c r="I25" s="2">
        <f t="shared" si="0"/>
        <v>3.5</v>
      </c>
      <c r="J25" s="3">
        <v>74.231825816969604</v>
      </c>
      <c r="K25">
        <v>84.89508357957493</v>
      </c>
      <c r="L25">
        <v>9.3031900099999998</v>
      </c>
    </row>
    <row r="26" spans="1:12" ht="17" x14ac:dyDescent="0.2">
      <c r="A26" s="1" t="s">
        <v>36</v>
      </c>
      <c r="B26" s="2">
        <v>0</v>
      </c>
      <c r="C26" s="2">
        <v>5.5</v>
      </c>
      <c r="D26" s="2">
        <v>0</v>
      </c>
      <c r="E26" s="2">
        <v>0</v>
      </c>
      <c r="F26" s="2">
        <v>0.5</v>
      </c>
      <c r="G26" s="2">
        <v>0</v>
      </c>
      <c r="H26" s="2">
        <v>0</v>
      </c>
      <c r="I26" s="2">
        <f t="shared" si="0"/>
        <v>6</v>
      </c>
      <c r="J26" s="3">
        <v>5.3542999348369316</v>
      </c>
      <c r="K26">
        <v>0.96414889160216288</v>
      </c>
      <c r="L26">
        <v>0.94649212999999999</v>
      </c>
    </row>
    <row r="27" spans="1:12" ht="17" x14ac:dyDescent="0.2">
      <c r="A27" s="1" t="s">
        <v>37</v>
      </c>
      <c r="B27" s="2">
        <v>5.5</v>
      </c>
      <c r="C27" s="2">
        <v>0.5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f t="shared" si="0"/>
        <v>6</v>
      </c>
      <c r="J27" s="3">
        <v>6.2528221603677094</v>
      </c>
      <c r="K27">
        <v>3.6795956379990593</v>
      </c>
      <c r="L27">
        <v>0.37949991</v>
      </c>
    </row>
    <row r="28" spans="1:12" ht="17" x14ac:dyDescent="0.2">
      <c r="A28" s="1" t="s">
        <v>38</v>
      </c>
      <c r="B28" s="2">
        <v>0</v>
      </c>
      <c r="C28" s="2">
        <v>0</v>
      </c>
      <c r="D28" s="2">
        <v>0</v>
      </c>
      <c r="E28" s="2">
        <v>0</v>
      </c>
      <c r="F28" s="2">
        <v>4.5</v>
      </c>
      <c r="G28" s="2">
        <v>0</v>
      </c>
      <c r="H28" s="2">
        <v>1.5</v>
      </c>
      <c r="I28" s="2">
        <f t="shared" si="0"/>
        <v>6</v>
      </c>
      <c r="J28" s="3">
        <v>3.2059351580559441</v>
      </c>
      <c r="K28">
        <v>5.4662284111853765</v>
      </c>
      <c r="L28">
        <v>4.1427753799999998</v>
      </c>
    </row>
    <row r="29" spans="1:12" ht="17" x14ac:dyDescent="0.2">
      <c r="A29" s="1" t="s">
        <v>39</v>
      </c>
      <c r="B29" s="2">
        <v>0</v>
      </c>
      <c r="C29" s="2">
        <v>0</v>
      </c>
      <c r="D29" s="2">
        <v>1.5</v>
      </c>
      <c r="E29" s="2">
        <v>1</v>
      </c>
      <c r="F29" s="2">
        <v>1</v>
      </c>
      <c r="G29" s="2">
        <v>1</v>
      </c>
      <c r="H29" s="2">
        <v>1.5</v>
      </c>
      <c r="I29" s="2">
        <f t="shared" si="0"/>
        <v>6</v>
      </c>
      <c r="J29" s="3">
        <v>5.1815343669832501</v>
      </c>
      <c r="K29">
        <v>5.5368008902240167</v>
      </c>
      <c r="L29">
        <v>3.7218302400000001</v>
      </c>
    </row>
    <row r="30" spans="1:12" ht="17" x14ac:dyDescent="0.2">
      <c r="A30" s="1" t="s">
        <v>40</v>
      </c>
      <c r="B30" s="2">
        <v>4.5</v>
      </c>
      <c r="C30" s="2">
        <v>0</v>
      </c>
      <c r="D30" s="2">
        <v>0</v>
      </c>
      <c r="E30" s="2">
        <v>0.5</v>
      </c>
      <c r="F30" s="2">
        <v>0</v>
      </c>
      <c r="G30" s="2">
        <v>0</v>
      </c>
      <c r="H30" s="2">
        <v>1</v>
      </c>
      <c r="I30" s="2">
        <f t="shared" si="0"/>
        <v>6</v>
      </c>
      <c r="J30" s="3">
        <v>28.740088129376002</v>
      </c>
      <c r="K30">
        <v>22.6852823355818</v>
      </c>
      <c r="L30">
        <v>6.1324388699999997</v>
      </c>
    </row>
    <row r="31" spans="1:12" ht="17" x14ac:dyDescent="0.2">
      <c r="A31" s="1" t="s">
        <v>41</v>
      </c>
      <c r="B31" s="2">
        <v>0</v>
      </c>
      <c r="C31" s="2">
        <v>0</v>
      </c>
      <c r="D31" s="2">
        <v>4</v>
      </c>
      <c r="E31" s="2">
        <v>2</v>
      </c>
      <c r="F31" s="2">
        <v>0</v>
      </c>
      <c r="G31" s="2">
        <v>0</v>
      </c>
      <c r="H31" s="2">
        <v>0</v>
      </c>
      <c r="I31" s="2">
        <f t="shared" si="0"/>
        <v>6</v>
      </c>
      <c r="J31" s="3">
        <v>34.975242852458841</v>
      </c>
      <c r="K31">
        <v>48.869158945155277</v>
      </c>
      <c r="L31">
        <v>5.7664941299999999</v>
      </c>
    </row>
    <row r="32" spans="1:12" ht="17" x14ac:dyDescent="0.2">
      <c r="A32" s="1" t="s">
        <v>42</v>
      </c>
      <c r="B32" s="2">
        <v>0</v>
      </c>
      <c r="C32" s="2">
        <v>3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f t="shared" si="0"/>
        <v>6</v>
      </c>
      <c r="J32" s="3">
        <v>31.839934804514911</v>
      </c>
      <c r="K32">
        <v>34.493203958815371</v>
      </c>
      <c r="L32">
        <v>3.0206774300000001</v>
      </c>
    </row>
    <row r="33" spans="1:12" ht="17" x14ac:dyDescent="0.2">
      <c r="A33" s="1" t="s">
        <v>43</v>
      </c>
      <c r="B33" s="2">
        <v>0</v>
      </c>
      <c r="C33" s="2">
        <v>0</v>
      </c>
      <c r="D33" s="2">
        <v>0</v>
      </c>
      <c r="E33" s="2">
        <v>0</v>
      </c>
      <c r="F33" s="2">
        <v>5.5</v>
      </c>
      <c r="G33" s="2">
        <v>0</v>
      </c>
      <c r="H33" s="2">
        <v>0</v>
      </c>
      <c r="I33" s="2">
        <f t="shared" si="0"/>
        <v>5.5</v>
      </c>
      <c r="J33" s="3">
        <v>29.635717425117019</v>
      </c>
      <c r="K33">
        <v>22.233175521846807</v>
      </c>
      <c r="L33">
        <v>6.1074992799999999</v>
      </c>
    </row>
    <row r="34" spans="1:12" ht="17" x14ac:dyDescent="0.2">
      <c r="A34" s="1" t="s">
        <v>44</v>
      </c>
      <c r="B34" s="2">
        <v>0.5</v>
      </c>
      <c r="C34" s="2">
        <v>0</v>
      </c>
      <c r="D34" s="2">
        <v>4</v>
      </c>
      <c r="E34" s="2">
        <v>0</v>
      </c>
      <c r="F34" s="2">
        <v>0</v>
      </c>
      <c r="G34" s="2">
        <v>0.5</v>
      </c>
      <c r="H34" s="2">
        <v>1</v>
      </c>
      <c r="I34" s="2">
        <f t="shared" si="0"/>
        <v>6</v>
      </c>
      <c r="J34" s="3">
        <v>54.644060427736967</v>
      </c>
      <c r="K34">
        <v>53.672678110613319</v>
      </c>
      <c r="L34">
        <v>9.1336134500000004</v>
      </c>
    </row>
    <row r="35" spans="1:12" ht="17" x14ac:dyDescent="0.2">
      <c r="A35" s="1" t="s">
        <v>45</v>
      </c>
      <c r="B35" s="2">
        <v>3</v>
      </c>
      <c r="C35" s="2">
        <v>0</v>
      </c>
      <c r="D35" s="2">
        <v>3</v>
      </c>
      <c r="E35" s="2">
        <v>0</v>
      </c>
      <c r="F35" s="2">
        <v>0</v>
      </c>
      <c r="G35" s="2">
        <v>0</v>
      </c>
      <c r="H35" s="2">
        <v>0</v>
      </c>
      <c r="I35" s="2">
        <f>SUM(B35:H35)</f>
        <v>6</v>
      </c>
      <c r="J35" s="3">
        <v>52.335219016398312</v>
      </c>
      <c r="K35">
        <v>61.006941329829615</v>
      </c>
      <c r="L35">
        <v>3.67597861</v>
      </c>
    </row>
    <row r="36" spans="1:12" ht="17" x14ac:dyDescent="0.2">
      <c r="A36" s="1" t="s">
        <v>46</v>
      </c>
      <c r="B36" s="2">
        <v>0</v>
      </c>
      <c r="C36" s="2">
        <v>2</v>
      </c>
      <c r="D36" s="2">
        <v>3.5</v>
      </c>
      <c r="E36" s="2">
        <v>0</v>
      </c>
      <c r="F36" s="2">
        <v>0</v>
      </c>
      <c r="G36" s="2">
        <v>0</v>
      </c>
      <c r="H36" s="2">
        <v>0</v>
      </c>
      <c r="I36" s="2">
        <f t="shared" si="0"/>
        <v>5.5</v>
      </c>
      <c r="J36" s="3">
        <v>51.332878021561143</v>
      </c>
      <c r="K36">
        <v>62.016247622926912</v>
      </c>
      <c r="L36">
        <v>7.8360183299999999</v>
      </c>
    </row>
    <row r="37" spans="1:12" ht="17" x14ac:dyDescent="0.2">
      <c r="A37" s="1" t="s">
        <v>47</v>
      </c>
      <c r="B37" s="2">
        <v>0</v>
      </c>
      <c r="C37" s="2">
        <v>0</v>
      </c>
      <c r="D37" s="2">
        <v>1</v>
      </c>
      <c r="E37" s="2">
        <v>3.5</v>
      </c>
      <c r="F37" s="2">
        <v>0</v>
      </c>
      <c r="G37" s="2">
        <v>0</v>
      </c>
      <c r="H37" s="2">
        <v>0</v>
      </c>
      <c r="I37" s="2">
        <f t="shared" si="0"/>
        <v>4.5</v>
      </c>
      <c r="J37" s="3">
        <v>54.848151758275748</v>
      </c>
      <c r="K37">
        <v>63.420438507263349</v>
      </c>
      <c r="L37">
        <v>2.8006067099999998</v>
      </c>
    </row>
    <row r="38" spans="1:12" ht="17" x14ac:dyDescent="0.2">
      <c r="A38" s="1" t="s">
        <v>48</v>
      </c>
      <c r="B38" s="2">
        <v>5.5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f t="shared" si="0"/>
        <v>5.5</v>
      </c>
      <c r="J38" s="3">
        <v>14.69859196398721</v>
      </c>
      <c r="K38">
        <v>7.2043627358734152</v>
      </c>
      <c r="L38">
        <v>0.94415941000000003</v>
      </c>
    </row>
    <row r="39" spans="1:12" ht="17" x14ac:dyDescent="0.2">
      <c r="A39" s="1" t="s">
        <v>49</v>
      </c>
      <c r="B39" s="2">
        <v>0</v>
      </c>
      <c r="C39" s="2">
        <v>0</v>
      </c>
      <c r="D39" s="2">
        <v>0.5</v>
      </c>
      <c r="E39" s="2">
        <v>4.5</v>
      </c>
      <c r="F39" s="2">
        <v>0</v>
      </c>
      <c r="G39" s="2">
        <v>0</v>
      </c>
      <c r="H39" s="2">
        <v>0</v>
      </c>
      <c r="I39" s="2">
        <f t="shared" si="0"/>
        <v>5</v>
      </c>
      <c r="J39" s="3">
        <v>16.447222081517701</v>
      </c>
      <c r="K39">
        <v>20.608560547841428</v>
      </c>
      <c r="L39">
        <v>10.3464451</v>
      </c>
    </row>
    <row r="40" spans="1:12" ht="17" x14ac:dyDescent="0.2">
      <c r="A40" s="1" t="s">
        <v>50</v>
      </c>
      <c r="B40" s="2">
        <v>0.5</v>
      </c>
      <c r="C40" s="2">
        <v>0</v>
      </c>
      <c r="D40" s="2">
        <v>2.5</v>
      </c>
      <c r="E40" s="2">
        <v>0</v>
      </c>
      <c r="F40" s="2">
        <v>0</v>
      </c>
      <c r="G40" s="2">
        <v>0</v>
      </c>
      <c r="H40" s="2">
        <v>3</v>
      </c>
      <c r="I40" s="2">
        <f t="shared" si="0"/>
        <v>6</v>
      </c>
      <c r="J40" s="3">
        <v>16.582487017218611</v>
      </c>
      <c r="K40">
        <v>22.703919466543141</v>
      </c>
      <c r="L40">
        <v>1.29429649</v>
      </c>
    </row>
    <row r="41" spans="1:12" ht="17" x14ac:dyDescent="0.2">
      <c r="A41" s="1" t="s">
        <v>51</v>
      </c>
      <c r="B41" s="2">
        <v>3</v>
      </c>
      <c r="C41" s="2">
        <v>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f t="shared" si="0"/>
        <v>6</v>
      </c>
      <c r="J41" s="3">
        <v>19.217714843702669</v>
      </c>
      <c r="K41">
        <v>23.964746265365502</v>
      </c>
      <c r="L41">
        <v>7.7650232499999996</v>
      </c>
    </row>
    <row r="42" spans="1:12" ht="17" x14ac:dyDescent="0.2">
      <c r="A42" s="1" t="s">
        <v>52</v>
      </c>
      <c r="B42" s="2">
        <v>0.5</v>
      </c>
      <c r="C42" s="2">
        <v>0</v>
      </c>
      <c r="D42" s="2">
        <v>4</v>
      </c>
      <c r="E42" s="2">
        <v>0</v>
      </c>
      <c r="F42" s="2">
        <v>0.5</v>
      </c>
      <c r="G42" s="2">
        <v>0.5</v>
      </c>
      <c r="H42" s="2">
        <v>0</v>
      </c>
      <c r="I42" s="2">
        <f t="shared" si="0"/>
        <v>5.5</v>
      </c>
      <c r="J42" s="3">
        <v>73.67409344414699</v>
      </c>
      <c r="K42">
        <v>67.854154019579653</v>
      </c>
      <c r="L42">
        <v>8.0631428300000003</v>
      </c>
    </row>
    <row r="43" spans="1:12" ht="17" x14ac:dyDescent="0.2">
      <c r="A43" s="1" t="s">
        <v>53</v>
      </c>
      <c r="B43" s="2">
        <v>0.5</v>
      </c>
      <c r="C43" s="2">
        <v>0.5</v>
      </c>
      <c r="D43" s="2">
        <v>4</v>
      </c>
      <c r="E43" s="2">
        <v>0</v>
      </c>
      <c r="F43" s="2">
        <v>0</v>
      </c>
      <c r="G43" s="2">
        <v>0.5</v>
      </c>
      <c r="H43" s="2">
        <v>0</v>
      </c>
      <c r="I43" s="2">
        <f t="shared" si="0"/>
        <v>5.5</v>
      </c>
      <c r="J43" s="3">
        <v>72.883168091528148</v>
      </c>
      <c r="K43">
        <v>70.227861120726615</v>
      </c>
      <c r="L43">
        <v>7.3256191099999999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Emerson</dc:creator>
  <cp:lastModifiedBy>Dan Emerson</cp:lastModifiedBy>
  <dcterms:created xsi:type="dcterms:W3CDTF">2024-04-18T22:35:32Z</dcterms:created>
  <dcterms:modified xsi:type="dcterms:W3CDTF">2024-04-29T20:01:12Z</dcterms:modified>
</cp:coreProperties>
</file>