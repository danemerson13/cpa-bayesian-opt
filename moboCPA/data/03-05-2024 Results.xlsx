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Generated CPAs/"/>
    </mc:Choice>
  </mc:AlternateContent>
  <xr:revisionPtr revIDLastSave="0" documentId="8_{AA96762D-0EE2-E642-A58A-163CB0A10C24}" xr6:coauthVersionLast="47" xr6:coauthVersionMax="47" xr10:uidLastSave="{00000000-0000-0000-0000-000000000000}"/>
  <bookViews>
    <workbookView xWindow="14740" yWindow="8080" windowWidth="27640" windowHeight="16940" xr2:uid="{8D697B94-5750-D145-BF4F-A2ECCBE352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<sst xmlns="http://schemas.openxmlformats.org/spreadsheetml/2006/main" count="58" uniqueCount="58">
  <si>
    <t>CPA</t>
  </si>
  <si>
    <t>Glycerol 6M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</si>
  <si>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</si>
  <si>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</si>
  <si>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</si>
  <si>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</si>
  <si>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</si>
  <si>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</si>
  <si>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</si>
  <si>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</si>
  <si>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Experimental Viability</t>
  </si>
  <si>
    <t>CMU 1</t>
  </si>
  <si>
    <t>CMU 2</t>
  </si>
  <si>
    <t>CMU 3</t>
  </si>
  <si>
    <t>CMU 4</t>
  </si>
  <si>
    <t>CMU 5</t>
  </si>
  <si>
    <t>CMU 6</t>
  </si>
  <si>
    <t>CMU 7</t>
  </si>
  <si>
    <t>CMU 8</t>
  </si>
  <si>
    <t>CMU 9</t>
  </si>
  <si>
    <t>CMU 10</t>
  </si>
  <si>
    <t>CMU 11</t>
  </si>
  <si>
    <t>CMU 12</t>
  </si>
  <si>
    <t>CMU 13</t>
  </si>
  <si>
    <t>CMU 14</t>
  </si>
  <si>
    <t>CMU 15</t>
  </si>
  <si>
    <t>CMU 16</t>
  </si>
  <si>
    <t>CMU 17</t>
  </si>
  <si>
    <t>CMU 18</t>
  </si>
  <si>
    <t>CMU 19</t>
  </si>
  <si>
    <t>CMU 20</t>
  </si>
  <si>
    <t>CMU 21</t>
  </si>
  <si>
    <t>CMU 22</t>
  </si>
  <si>
    <t>CMU 23</t>
  </si>
  <si>
    <t>CMU 24</t>
  </si>
  <si>
    <t>CMU 25</t>
  </si>
  <si>
    <t>CMU 26</t>
  </si>
  <si>
    <t>CMU 27</t>
  </si>
  <si>
    <t>CMU 28</t>
  </si>
  <si>
    <t>CMU 29</t>
  </si>
  <si>
    <t>CMU 30</t>
  </si>
  <si>
    <t>CMU 31</t>
  </si>
  <si>
    <t>CMU 32</t>
  </si>
  <si>
    <t>CMU 33</t>
  </si>
  <si>
    <t>CMU 34</t>
  </si>
  <si>
    <t>CMU 35</t>
  </si>
  <si>
    <t>CMU 36</t>
  </si>
  <si>
    <t>CMU 37</t>
  </si>
  <si>
    <t>CMU 38</t>
  </si>
  <si>
    <t>CMU 39</t>
  </si>
  <si>
    <t>CMU 40</t>
  </si>
  <si>
    <t>CMU 41</t>
  </si>
  <si>
    <t>CMU 42</t>
  </si>
  <si>
    <t>CMU 43</t>
  </si>
  <si>
    <t>CMU 44</t>
  </si>
  <si>
    <t>CMU 45</t>
  </si>
  <si>
    <t>CMU 46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</si>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</sst>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wrapText="1"/>
    </xf>
    <xf numFmtId="2" fontId="0" fillId="0" borderId="0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A3A9-8A70-E44F-B7CE-104402D0CB55}">
  <dimension ref="A1:L47"/>
  <sheetViews>
    <sheetView tabSelected="1" workbookViewId="0">
      <selection sqref="A1:A47"/>
    </sheetView>
  </sheetViews>
  <sheetFormatPr baseColWidth="10" defaultRowHeight="16" x14ac:dyDescent="0.2"/>
  <cols>
    <col min="1" max="8" width="10.83203125" style="1"/>
    <col min="9" max="9" width="12.1640625" style="1" bestFit="1" customWidth="1"/>
    <col min="10" max="10" width="15.83203125" style="1" bestFit="1" customWidth="1"/>
    <col min="11" max="11" width="18.83203125" style="1" bestFit="1" customWidth="1"/>
    <col min="12" max="12" width="10.83203125" style="1"/>
  </cols>
  <sheetData>
    <row r="1" spans="1:12" x14ac:dyDescent="0.2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57</v>
      </c>
    </row>
    <row r="2" spans="1:12" ht="17" x14ac:dyDescent="0.2">
      <c r="A2" s="6" t="s">
        <v>11</v>
      </c>
      <c r="B2" s="2">
        <v>2</v>
      </c>
      <c r="C2" s="2">
        <v>0</v>
      </c>
      <c r="D2" s="2">
        <v>4</v>
      </c>
      <c r="E2" s="2">
        <v>0</v>
      </c>
      <c r="F2" s="2">
        <v>0</v>
      </c>
      <c r="G2" s="2">
        <v>0</v>
      </c>
      <c r="H2" s="2">
        <v>0</v>
      </c>
      <c r="I2" s="2">
        <f>SUM(B2:H2)</f>
        <v>6</v>
      </c>
      <c r="J2" s="3">
        <v>78.078384399414062</v>
      </c>
      <c r="K2" s="3">
        <v>62.306775906406529</v>
      </c>
      <c r="L2" s="3">
        <v>3.126956138037813</v>
      </c>
    </row>
    <row r="3" spans="1:12" ht="17" x14ac:dyDescent="0.2">
      <c r="A3" s="6" t="s">
        <v>12</v>
      </c>
      <c r="B3" s="2">
        <v>0</v>
      </c>
      <c r="C3" s="2">
        <v>0</v>
      </c>
      <c r="D3" s="2">
        <v>0.5</v>
      </c>
      <c r="E3" s="2">
        <v>1.5</v>
      </c>
      <c r="F3" s="2">
        <v>2</v>
      </c>
      <c r="G3" s="2">
        <v>0</v>
      </c>
      <c r="H3" s="2">
        <v>0</v>
      </c>
      <c r="I3" s="2">
        <f>SUM(B3:H3)</f>
        <v>4</v>
      </c>
      <c r="J3" s="3">
        <v>75.409652709960938</v>
      </c>
      <c r="K3" s="3">
        <v>63.407490777589523</v>
      </c>
      <c r="L3" s="3">
        <v>3.2972938602710706</v>
      </c>
    </row>
    <row r="4" spans="1:12" ht="17" x14ac:dyDescent="0.2">
      <c r="A4" s="6" t="s">
        <v>13</v>
      </c>
      <c r="B4" s="2">
        <v>0</v>
      </c>
      <c r="C4" s="2">
        <v>0</v>
      </c>
      <c r="D4" s="2">
        <v>1.5</v>
      </c>
      <c r="E4" s="2">
        <v>0</v>
      </c>
      <c r="F4" s="2">
        <v>0</v>
      </c>
      <c r="G4" s="2">
        <v>2</v>
      </c>
      <c r="H4" s="2">
        <v>0</v>
      </c>
      <c r="I4" s="2">
        <f t="shared" ref="I4:I43" si="0">SUM(B4:H4)</f>
        <v>3.5</v>
      </c>
      <c r="J4" s="3">
        <v>79.610191345214844</v>
      </c>
      <c r="K4" s="3">
        <v>71.222781494805346</v>
      </c>
      <c r="L4" s="3">
        <v>10.615529345368664</v>
      </c>
    </row>
    <row r="5" spans="1:12" ht="17" x14ac:dyDescent="0.2">
      <c r="A5" s="6" t="s">
        <v>14</v>
      </c>
      <c r="B5" s="2">
        <v>0</v>
      </c>
      <c r="C5" s="2">
        <v>0</v>
      </c>
      <c r="D5" s="2">
        <v>1.5</v>
      </c>
      <c r="E5" s="2">
        <v>0.5</v>
      </c>
      <c r="F5" s="2">
        <v>0</v>
      </c>
      <c r="G5" s="2">
        <v>0</v>
      </c>
      <c r="H5" s="2">
        <v>1.5</v>
      </c>
      <c r="I5" s="2">
        <f t="shared" si="0"/>
        <v>3.5</v>
      </c>
      <c r="J5" s="3">
        <v>78.814895629882812</v>
      </c>
      <c r="K5" s="3">
        <v>39.429862984001254</v>
      </c>
      <c r="L5" s="3">
        <v>1.4792716163132542</v>
      </c>
    </row>
    <row r="6" spans="1:12" ht="17" x14ac:dyDescent="0.2">
      <c r="A6" s="6" t="s">
        <v>15</v>
      </c>
      <c r="B6" s="2">
        <v>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f t="shared" si="0"/>
        <v>6</v>
      </c>
      <c r="J6" s="3">
        <v>21.3713264465332</v>
      </c>
      <c r="K6" s="3">
        <v>2.2518475215362588</v>
      </c>
      <c r="L6" s="3">
        <v>0.6793706215985289</v>
      </c>
    </row>
    <row r="7" spans="1:12" ht="17" x14ac:dyDescent="0.2">
      <c r="A7" s="6" t="s">
        <v>16</v>
      </c>
      <c r="B7" s="2">
        <v>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3</v>
      </c>
      <c r="I7" s="2">
        <f t="shared" si="0"/>
        <v>6</v>
      </c>
      <c r="J7" s="3">
        <v>17.54472732543945</v>
      </c>
      <c r="K7" s="3">
        <v>16.757758004030048</v>
      </c>
      <c r="L7" s="3">
        <v>2.0595030763223479</v>
      </c>
    </row>
    <row r="8" spans="1:12" ht="17" x14ac:dyDescent="0.2">
      <c r="A8" s="6" t="s">
        <v>17</v>
      </c>
      <c r="B8" s="2">
        <v>0</v>
      </c>
      <c r="C8" s="2">
        <v>0</v>
      </c>
      <c r="D8" s="2">
        <v>1.5</v>
      </c>
      <c r="E8" s="2">
        <v>4.5</v>
      </c>
      <c r="F8" s="2">
        <v>0</v>
      </c>
      <c r="G8" s="2">
        <v>0</v>
      </c>
      <c r="H8" s="2">
        <v>0</v>
      </c>
      <c r="I8" s="2">
        <f t="shared" si="0"/>
        <v>6</v>
      </c>
      <c r="J8" s="3">
        <v>16.075338363647461</v>
      </c>
      <c r="K8" s="3">
        <v>1.394888662840944</v>
      </c>
      <c r="L8" s="3">
        <v>0.43091946548608157</v>
      </c>
    </row>
    <row r="9" spans="1:12" ht="17" x14ac:dyDescent="0.2">
      <c r="A9" s="6" t="s">
        <v>18</v>
      </c>
      <c r="B9" s="2">
        <v>0</v>
      </c>
      <c r="C9" s="2">
        <v>0</v>
      </c>
      <c r="D9" s="2">
        <v>2.5</v>
      </c>
      <c r="E9" s="2">
        <v>0</v>
      </c>
      <c r="F9" s="2">
        <v>0</v>
      </c>
      <c r="G9" s="2">
        <v>0</v>
      </c>
      <c r="H9" s="2">
        <v>3</v>
      </c>
      <c r="I9" s="2">
        <f t="shared" si="0"/>
        <v>5.5</v>
      </c>
      <c r="J9" s="3">
        <v>17.573005676269531</v>
      </c>
      <c r="K9" s="3">
        <v>25.807312272891846</v>
      </c>
      <c r="L9" s="3">
        <v>4.1470811860087231</v>
      </c>
    </row>
    <row r="10" spans="1:12" ht="17" x14ac:dyDescent="0.2">
      <c r="A10" s="6" t="s">
        <v>19</v>
      </c>
      <c r="B10" s="2">
        <v>0</v>
      </c>
      <c r="C10" s="2">
        <v>0</v>
      </c>
      <c r="D10" s="2">
        <v>5.5</v>
      </c>
      <c r="E10" s="2">
        <v>0</v>
      </c>
      <c r="F10" s="2">
        <v>0</v>
      </c>
      <c r="G10" s="2">
        <v>0.5</v>
      </c>
      <c r="H10" s="2">
        <v>0</v>
      </c>
      <c r="I10" s="2">
        <f t="shared" si="0"/>
        <v>6</v>
      </c>
      <c r="J10" s="3">
        <v>72.793403625488281</v>
      </c>
      <c r="K10" s="3">
        <v>60.454294513974766</v>
      </c>
      <c r="L10" s="3">
        <v>1.8167104796569207</v>
      </c>
    </row>
    <row r="11" spans="1:12" ht="17" x14ac:dyDescent="0.2">
      <c r="A11" s="6" t="s">
        <v>20</v>
      </c>
      <c r="B11" s="2">
        <v>0</v>
      </c>
      <c r="C11" s="2">
        <v>2</v>
      </c>
      <c r="D11" s="2">
        <v>4</v>
      </c>
      <c r="E11" s="2">
        <v>0</v>
      </c>
      <c r="F11" s="2">
        <v>0</v>
      </c>
      <c r="G11" s="2">
        <v>0</v>
      </c>
      <c r="H11" s="2">
        <v>0</v>
      </c>
      <c r="I11" s="2">
        <f>SUM(B11:H11)</f>
        <v>6</v>
      </c>
      <c r="J11" s="3">
        <v>67.498992919921875</v>
      </c>
      <c r="K11" s="3">
        <v>42.417195395275883</v>
      </c>
      <c r="L11" s="3">
        <v>6.0514979986780446</v>
      </c>
    </row>
    <row r="12" spans="1:12" ht="17" x14ac:dyDescent="0.2">
      <c r="A12" s="6" t="s">
        <v>21</v>
      </c>
      <c r="B12" s="2">
        <v>0</v>
      </c>
      <c r="C12" s="2">
        <v>0</v>
      </c>
      <c r="D12" s="2">
        <v>3.5</v>
      </c>
      <c r="E12" s="2">
        <v>0.5</v>
      </c>
      <c r="F12" s="2">
        <v>0</v>
      </c>
      <c r="G12" s="2">
        <v>0</v>
      </c>
      <c r="H12" s="2">
        <v>1.5</v>
      </c>
      <c r="I12" s="2">
        <f t="shared" si="0"/>
        <v>5.5</v>
      </c>
      <c r="J12" s="3">
        <v>66.537864685058594</v>
      </c>
      <c r="K12" s="3">
        <v>40.759519459742073</v>
      </c>
      <c r="L12" s="3">
        <v>1.694078638216554</v>
      </c>
    </row>
    <row r="13" spans="1:12" ht="17" x14ac:dyDescent="0.2">
      <c r="A13" s="6" t="s">
        <v>22</v>
      </c>
      <c r="B13" s="2">
        <v>0</v>
      </c>
      <c r="C13" s="2">
        <v>0</v>
      </c>
      <c r="D13" s="2">
        <v>4</v>
      </c>
      <c r="E13" s="2">
        <v>0</v>
      </c>
      <c r="F13" s="2">
        <v>2</v>
      </c>
      <c r="G13" s="2">
        <v>0</v>
      </c>
      <c r="H13" s="2">
        <v>0</v>
      </c>
      <c r="I13" s="2">
        <f t="shared" si="0"/>
        <v>6</v>
      </c>
      <c r="J13" s="3">
        <v>71.480262756347656</v>
      </c>
      <c r="K13" s="3">
        <v>37.967092289978233</v>
      </c>
      <c r="L13" s="3">
        <v>2.1789892130396744</v>
      </c>
    </row>
    <row r="14" spans="1:12" ht="17" x14ac:dyDescent="0.2">
      <c r="A14" s="6" t="s">
        <v>23</v>
      </c>
      <c r="B14" s="2">
        <v>5</v>
      </c>
      <c r="C14" s="2">
        <v>0.5</v>
      </c>
      <c r="D14" s="2">
        <v>0.5</v>
      </c>
      <c r="E14" s="2">
        <v>0</v>
      </c>
      <c r="F14" s="2">
        <v>0</v>
      </c>
      <c r="G14" s="2">
        <v>0</v>
      </c>
      <c r="H14" s="2">
        <v>0</v>
      </c>
      <c r="I14" s="2">
        <f t="shared" si="0"/>
        <v>6</v>
      </c>
      <c r="J14" s="3">
        <v>40.497528076171882</v>
      </c>
      <c r="K14" s="3">
        <v>8.5827768029543972</v>
      </c>
      <c r="L14" s="3">
        <v>1.0634367631432633</v>
      </c>
    </row>
    <row r="15" spans="1:12" ht="17" x14ac:dyDescent="0.2">
      <c r="A15" s="6" t="s">
        <v>24</v>
      </c>
      <c r="B15" s="2">
        <v>2.5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2.5</v>
      </c>
      <c r="I15" s="2">
        <f t="shared" si="0"/>
        <v>5</v>
      </c>
      <c r="J15" s="3">
        <v>38.993827819824219</v>
      </c>
      <c r="K15" s="3">
        <v>29.712678365495844</v>
      </c>
      <c r="L15" s="3">
        <v>3.1141287825498858</v>
      </c>
    </row>
    <row r="16" spans="1:12" ht="17" x14ac:dyDescent="0.2">
      <c r="A16" s="6" t="s">
        <v>25</v>
      </c>
      <c r="B16" s="2">
        <v>0</v>
      </c>
      <c r="C16" s="2">
        <v>0</v>
      </c>
      <c r="D16" s="2">
        <v>3.5</v>
      </c>
      <c r="E16" s="2">
        <v>0</v>
      </c>
      <c r="F16" s="2">
        <v>0</v>
      </c>
      <c r="G16" s="2">
        <v>0</v>
      </c>
      <c r="H16" s="2">
        <v>2.5</v>
      </c>
      <c r="I16" s="2">
        <f t="shared" si="0"/>
        <v>6</v>
      </c>
      <c r="J16" s="3">
        <v>42.731056213378913</v>
      </c>
      <c r="K16" s="3">
        <v>32.284442114581651</v>
      </c>
      <c r="L16" s="3">
        <v>0.55118587577224765</v>
      </c>
    </row>
    <row r="17" spans="1:12" ht="17" x14ac:dyDescent="0.2">
      <c r="A17" s="6" t="s">
        <v>26</v>
      </c>
      <c r="B17" s="2">
        <v>0</v>
      </c>
      <c r="C17" s="2">
        <v>2.5</v>
      </c>
      <c r="D17" s="2">
        <v>2.5</v>
      </c>
      <c r="E17" s="2">
        <v>0</v>
      </c>
      <c r="F17" s="2">
        <v>0</v>
      </c>
      <c r="G17" s="2">
        <v>0</v>
      </c>
      <c r="H17" s="2">
        <v>1</v>
      </c>
      <c r="I17" s="2">
        <f t="shared" si="0"/>
        <v>6</v>
      </c>
      <c r="J17" s="3">
        <v>38.656471252441413</v>
      </c>
      <c r="K17" s="3">
        <v>33.202921252020175</v>
      </c>
      <c r="L17" s="3">
        <v>2.9121824216275352</v>
      </c>
    </row>
    <row r="18" spans="1:12" ht="17" x14ac:dyDescent="0.2">
      <c r="A18" s="6" t="s">
        <v>27</v>
      </c>
      <c r="B18" s="2">
        <v>0</v>
      </c>
      <c r="C18" s="2">
        <v>0</v>
      </c>
      <c r="D18" s="2">
        <v>0</v>
      </c>
      <c r="E18" s="2">
        <v>0</v>
      </c>
      <c r="F18" s="2">
        <v>5</v>
      </c>
      <c r="G18" s="2">
        <v>0</v>
      </c>
      <c r="H18" s="2">
        <v>1</v>
      </c>
      <c r="I18" s="2">
        <f t="shared" si="0"/>
        <v>6</v>
      </c>
      <c r="J18" s="3">
        <v>3.4421110153198242</v>
      </c>
      <c r="K18" s="3">
        <v>7.260004831179768</v>
      </c>
      <c r="L18" s="3">
        <v>2.6149536945542491</v>
      </c>
    </row>
    <row r="19" spans="1:12" ht="17" x14ac:dyDescent="0.2">
      <c r="A19" s="6" t="s">
        <v>28</v>
      </c>
      <c r="B19" s="2">
        <v>0</v>
      </c>
      <c r="C19" s="2">
        <v>5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f t="shared" si="0"/>
        <v>6</v>
      </c>
      <c r="J19" s="3">
        <v>4.5870676040649414</v>
      </c>
      <c r="K19" s="3">
        <v>6.2268535582244908</v>
      </c>
      <c r="L19" s="3">
        <v>1.2623679615414767</v>
      </c>
    </row>
    <row r="20" spans="1:12" ht="17" x14ac:dyDescent="0.2">
      <c r="A20" s="6" t="s">
        <v>29</v>
      </c>
      <c r="B20" s="2">
        <v>1.5</v>
      </c>
      <c r="C20" s="2">
        <v>1</v>
      </c>
      <c r="D20" s="2">
        <v>0</v>
      </c>
      <c r="E20" s="2">
        <v>1</v>
      </c>
      <c r="F20" s="2">
        <v>0.5</v>
      </c>
      <c r="G20" s="2">
        <v>1</v>
      </c>
      <c r="H20" s="2">
        <v>1</v>
      </c>
      <c r="I20" s="2">
        <f t="shared" si="0"/>
        <v>6</v>
      </c>
      <c r="J20" s="3">
        <v>7.9334349632263184</v>
      </c>
      <c r="K20" s="3">
        <v>15.590680266803639</v>
      </c>
      <c r="L20" s="3">
        <v>2.6257686997741208</v>
      </c>
    </row>
    <row r="21" spans="1:12" ht="17" x14ac:dyDescent="0.2">
      <c r="A21" s="6" t="s">
        <v>30</v>
      </c>
      <c r="B21" s="2">
        <v>0</v>
      </c>
      <c r="C21" s="2">
        <v>0</v>
      </c>
      <c r="D21" s="2">
        <v>0</v>
      </c>
      <c r="E21" s="2">
        <v>3</v>
      </c>
      <c r="F21" s="2">
        <v>0</v>
      </c>
      <c r="G21" s="2">
        <v>3</v>
      </c>
      <c r="H21" s="2">
        <v>0</v>
      </c>
      <c r="I21" s="2">
        <f t="shared" si="0"/>
        <v>6</v>
      </c>
      <c r="J21" s="3">
        <v>4.8221964836120614</v>
      </c>
      <c r="K21" s="3">
        <v>1.3671603076667116</v>
      </c>
      <c r="L21" s="3">
        <v>0.34586640809033808</v>
      </c>
    </row>
    <row r="22" spans="1:12" ht="17" x14ac:dyDescent="0.2">
      <c r="A22" s="6" t="s">
        <v>31</v>
      </c>
      <c r="B22" s="2">
        <v>0</v>
      </c>
      <c r="C22" s="2">
        <v>0.5</v>
      </c>
      <c r="D22" s="2">
        <v>3.5</v>
      </c>
      <c r="E22" s="2">
        <v>0</v>
      </c>
      <c r="F22" s="2">
        <v>0</v>
      </c>
      <c r="G22" s="2">
        <v>0</v>
      </c>
      <c r="H22" s="2">
        <v>2</v>
      </c>
      <c r="I22" s="2">
        <f t="shared" si="0"/>
        <v>6</v>
      </c>
      <c r="J22" s="3">
        <v>48.541118621826172</v>
      </c>
      <c r="K22" s="3">
        <v>33.826802311603643</v>
      </c>
      <c r="L22" s="3">
        <v>1.1201464149710707</v>
      </c>
    </row>
    <row r="23" spans="1:12" ht="17" x14ac:dyDescent="0.2">
      <c r="A23" s="6" t="s">
        <v>32</v>
      </c>
      <c r="B23" s="2">
        <v>0</v>
      </c>
      <c r="C23" s="2">
        <v>0</v>
      </c>
      <c r="D23" s="2">
        <v>0</v>
      </c>
      <c r="E23" s="2">
        <v>4</v>
      </c>
      <c r="F23" s="2">
        <v>0</v>
      </c>
      <c r="G23" s="2">
        <v>0</v>
      </c>
      <c r="H23" s="2">
        <v>0</v>
      </c>
      <c r="I23" s="2">
        <f t="shared" si="0"/>
        <v>4</v>
      </c>
      <c r="J23" s="3">
        <v>50.672317504882812</v>
      </c>
      <c r="K23" s="3">
        <v>57.224036268232929</v>
      </c>
      <c r="L23" s="3">
        <v>2.3561919786602363</v>
      </c>
    </row>
    <row r="24" spans="1:12" ht="17" x14ac:dyDescent="0.2">
      <c r="A24" s="6" t="s">
        <v>33</v>
      </c>
      <c r="B24" s="2">
        <v>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2.5</v>
      </c>
      <c r="I24" s="2">
        <f t="shared" si="0"/>
        <v>4.5</v>
      </c>
      <c r="J24" s="3">
        <v>48.479785919189453</v>
      </c>
      <c r="K24" s="3">
        <v>34.85283969086823</v>
      </c>
      <c r="L24" s="3">
        <v>2.3042437495229282</v>
      </c>
    </row>
    <row r="25" spans="1:12" ht="17" x14ac:dyDescent="0.2">
      <c r="A25" s="6" t="s">
        <v>34</v>
      </c>
      <c r="B25" s="2">
        <v>0</v>
      </c>
      <c r="C25" s="2">
        <v>0</v>
      </c>
      <c r="D25" s="2">
        <v>3.5</v>
      </c>
      <c r="E25" s="2">
        <v>0</v>
      </c>
      <c r="F25" s="2">
        <v>0</v>
      </c>
      <c r="G25" s="2">
        <v>2.5</v>
      </c>
      <c r="H25" s="2">
        <v>0</v>
      </c>
      <c r="I25" s="2">
        <f t="shared" si="0"/>
        <v>6</v>
      </c>
      <c r="J25" s="3">
        <v>47.531570434570312</v>
      </c>
      <c r="K25" s="3">
        <v>35.68007801799277</v>
      </c>
      <c r="L25" s="3">
        <v>6.3629226287283318</v>
      </c>
    </row>
    <row r="26" spans="1:12" ht="17" x14ac:dyDescent="0.2">
      <c r="A26" s="6" t="s">
        <v>35</v>
      </c>
      <c r="B26" s="2">
        <v>0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3</v>
      </c>
      <c r="I26" s="2">
        <f t="shared" si="0"/>
        <v>6</v>
      </c>
      <c r="J26" s="3">
        <v>25.481584548950199</v>
      </c>
      <c r="K26" s="3">
        <v>8.244529219652037</v>
      </c>
      <c r="L26" s="3">
        <v>2.0198762992528656</v>
      </c>
    </row>
    <row r="27" spans="1:12" ht="17" x14ac:dyDescent="0.2">
      <c r="A27" s="6" t="s">
        <v>36</v>
      </c>
      <c r="B27" s="2">
        <v>0</v>
      </c>
      <c r="C27" s="2">
        <v>0</v>
      </c>
      <c r="D27" s="2">
        <v>0</v>
      </c>
      <c r="E27" s="2">
        <v>0</v>
      </c>
      <c r="F27" s="2">
        <v>6</v>
      </c>
      <c r="G27" s="2">
        <v>0</v>
      </c>
      <c r="H27" s="2">
        <v>0</v>
      </c>
      <c r="I27" s="2">
        <f t="shared" si="0"/>
        <v>6</v>
      </c>
      <c r="J27" s="3">
        <v>26.23465538024902</v>
      </c>
      <c r="K27" s="3">
        <v>21.130857645450892</v>
      </c>
      <c r="L27" s="3">
        <v>5.222653324872085</v>
      </c>
    </row>
    <row r="28" spans="1:12" ht="17" x14ac:dyDescent="0.2">
      <c r="A28" s="6" t="s">
        <v>37</v>
      </c>
      <c r="B28" s="2">
        <v>2.5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3</v>
      </c>
      <c r="I28" s="2">
        <f t="shared" si="0"/>
        <v>5.5</v>
      </c>
      <c r="J28" s="3">
        <v>24.036037445068359</v>
      </c>
      <c r="K28" s="3">
        <v>21.767308993587136</v>
      </c>
      <c r="L28" s="3">
        <v>1.6222201778296417</v>
      </c>
    </row>
    <row r="29" spans="1:12" ht="17" x14ac:dyDescent="0.2">
      <c r="A29" s="6" t="s">
        <v>38</v>
      </c>
      <c r="B29" s="2">
        <v>3</v>
      </c>
      <c r="C29" s="2">
        <v>0</v>
      </c>
      <c r="D29" s="2">
        <v>0</v>
      </c>
      <c r="E29" s="2">
        <v>3</v>
      </c>
      <c r="F29" s="2">
        <v>0</v>
      </c>
      <c r="G29" s="2">
        <v>0</v>
      </c>
      <c r="H29" s="2">
        <v>0</v>
      </c>
      <c r="I29" s="2">
        <f t="shared" si="0"/>
        <v>6</v>
      </c>
      <c r="J29" s="3">
        <v>24.31118202209473</v>
      </c>
      <c r="K29" s="3">
        <v>20.819149244466125</v>
      </c>
      <c r="L29" s="3">
        <v>5.7808456016956118</v>
      </c>
    </row>
    <row r="30" spans="1:12" ht="17" x14ac:dyDescent="0.2">
      <c r="A30" s="6" t="s">
        <v>39</v>
      </c>
      <c r="B30" s="2">
        <v>0</v>
      </c>
      <c r="C30" s="2">
        <v>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f t="shared" si="0"/>
        <v>6</v>
      </c>
      <c r="J30" s="3">
        <v>13.96044445037842</v>
      </c>
      <c r="K30" s="3">
        <v>0.10319328700823417</v>
      </c>
      <c r="L30" s="3">
        <v>6.9443718029675435E-3</v>
      </c>
    </row>
    <row r="31" spans="1:12" ht="17" x14ac:dyDescent="0.2">
      <c r="A31" s="6" t="s">
        <v>40</v>
      </c>
      <c r="B31" s="2">
        <v>2.5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3.5</v>
      </c>
      <c r="I31" s="2">
        <f t="shared" si="0"/>
        <v>6</v>
      </c>
      <c r="J31" s="3">
        <v>13.609052658081049</v>
      </c>
      <c r="K31" s="3">
        <v>16.550193366675249</v>
      </c>
      <c r="L31" s="3">
        <v>3.116361795973464</v>
      </c>
    </row>
    <row r="32" spans="1:12" ht="17" x14ac:dyDescent="0.2">
      <c r="A32" s="6" t="s">
        <v>41</v>
      </c>
      <c r="B32" s="2">
        <v>0</v>
      </c>
      <c r="C32" s="2">
        <v>1.5</v>
      </c>
      <c r="D32" s="2">
        <v>2</v>
      </c>
      <c r="E32" s="2">
        <v>0</v>
      </c>
      <c r="F32" s="2">
        <v>0</v>
      </c>
      <c r="G32" s="2">
        <v>0</v>
      </c>
      <c r="H32" s="2">
        <v>2.5</v>
      </c>
      <c r="I32" s="2">
        <f t="shared" si="0"/>
        <v>6</v>
      </c>
      <c r="J32" s="3">
        <v>9.2796459197998047</v>
      </c>
      <c r="K32" s="3">
        <v>18.024244522308326</v>
      </c>
      <c r="L32" s="3">
        <v>4.3301344522960941</v>
      </c>
    </row>
    <row r="33" spans="1:12" ht="17" x14ac:dyDescent="0.2">
      <c r="A33" s="6" t="s">
        <v>42</v>
      </c>
      <c r="B33" s="2">
        <v>0</v>
      </c>
      <c r="C33" s="2">
        <v>3</v>
      </c>
      <c r="D33" s="2">
        <v>0</v>
      </c>
      <c r="E33" s="2">
        <v>0</v>
      </c>
      <c r="F33" s="2">
        <v>2.5</v>
      </c>
      <c r="G33" s="2">
        <v>0</v>
      </c>
      <c r="H33" s="2">
        <v>0.5</v>
      </c>
      <c r="I33" s="2">
        <f t="shared" si="0"/>
        <v>6</v>
      </c>
      <c r="J33" s="3">
        <v>8.2998552322387695</v>
      </c>
      <c r="K33" s="3">
        <v>7.7945614603615985</v>
      </c>
      <c r="L33" s="3">
        <v>0.53805183648491317</v>
      </c>
    </row>
    <row r="34" spans="1:12" ht="17" x14ac:dyDescent="0.2">
      <c r="A34" s="6" t="s">
        <v>43</v>
      </c>
      <c r="B34" s="2">
        <v>0</v>
      </c>
      <c r="C34" s="2">
        <v>0</v>
      </c>
      <c r="D34" s="2">
        <v>4.5</v>
      </c>
      <c r="E34" s="2">
        <v>0</v>
      </c>
      <c r="F34" s="2">
        <v>0</v>
      </c>
      <c r="G34" s="2">
        <v>1.5</v>
      </c>
      <c r="H34" s="2">
        <v>0</v>
      </c>
      <c r="I34" s="2">
        <f t="shared" si="0"/>
        <v>6</v>
      </c>
      <c r="J34" s="3">
        <v>62.17919921875</v>
      </c>
      <c r="K34" s="3">
        <v>42.796788195849956</v>
      </c>
      <c r="L34" s="3">
        <v>2.4314493929634047</v>
      </c>
    </row>
    <row r="35" spans="1:12" ht="17" x14ac:dyDescent="0.2">
      <c r="A35" s="6" t="s">
        <v>44</v>
      </c>
      <c r="B35" s="2">
        <v>0</v>
      </c>
      <c r="C35" s="2">
        <v>0</v>
      </c>
      <c r="D35" s="2">
        <v>3.5</v>
      </c>
      <c r="E35" s="2">
        <v>0.5</v>
      </c>
      <c r="F35" s="2">
        <v>0</v>
      </c>
      <c r="G35" s="2">
        <v>0</v>
      </c>
      <c r="H35" s="2">
        <v>2</v>
      </c>
      <c r="I35" s="2">
        <f>SUM(B35:H35)</f>
        <v>6</v>
      </c>
      <c r="J35" s="3">
        <v>54.604251861572273</v>
      </c>
      <c r="K35" s="3">
        <v>35.347033451699367</v>
      </c>
      <c r="L35" s="3">
        <v>0.33738097315262938</v>
      </c>
    </row>
    <row r="36" spans="1:12" ht="17" x14ac:dyDescent="0.2">
      <c r="A36" s="6" t="s">
        <v>45</v>
      </c>
      <c r="B36" s="2">
        <v>3.5</v>
      </c>
      <c r="C36" s="2">
        <v>0</v>
      </c>
      <c r="D36" s="2">
        <v>2</v>
      </c>
      <c r="E36" s="2">
        <v>0</v>
      </c>
      <c r="F36" s="2">
        <v>0</v>
      </c>
      <c r="G36" s="2">
        <v>0.5</v>
      </c>
      <c r="H36" s="2">
        <v>0</v>
      </c>
      <c r="I36" s="2">
        <f t="shared" si="0"/>
        <v>6</v>
      </c>
      <c r="J36" s="3">
        <v>62.886024475097663</v>
      </c>
      <c r="K36" s="3">
        <v>57.750590961250943</v>
      </c>
      <c r="L36" s="3">
        <v>3.3019160106262206</v>
      </c>
    </row>
    <row r="37" spans="1:12" ht="17" x14ac:dyDescent="0.2">
      <c r="A37" s="6" t="s">
        <v>46</v>
      </c>
      <c r="B37" s="2">
        <v>0</v>
      </c>
      <c r="C37" s="2">
        <v>0</v>
      </c>
      <c r="D37" s="2">
        <v>3.5</v>
      </c>
      <c r="E37" s="2">
        <v>2.5</v>
      </c>
      <c r="F37" s="2">
        <v>0</v>
      </c>
      <c r="G37" s="2">
        <v>0</v>
      </c>
      <c r="H37" s="2">
        <v>0</v>
      </c>
      <c r="I37" s="2">
        <f t="shared" si="0"/>
        <v>6</v>
      </c>
      <c r="J37" s="3">
        <v>58.987751007080078</v>
      </c>
      <c r="K37" s="3">
        <v>27.339527950465111</v>
      </c>
      <c r="L37" s="3">
        <v>2.0316971043216925</v>
      </c>
    </row>
    <row r="38" spans="1:12" ht="17" x14ac:dyDescent="0.2">
      <c r="A38" s="6" t="s">
        <v>47</v>
      </c>
      <c r="B38" s="2">
        <v>5.5</v>
      </c>
      <c r="C38" s="2">
        <v>0</v>
      </c>
      <c r="D38" s="2">
        <v>0.5</v>
      </c>
      <c r="E38" s="2">
        <v>0</v>
      </c>
      <c r="F38" s="2">
        <v>0</v>
      </c>
      <c r="G38" s="2">
        <v>0</v>
      </c>
      <c r="H38" s="2">
        <v>0</v>
      </c>
      <c r="I38" s="2">
        <f t="shared" si="0"/>
        <v>6</v>
      </c>
      <c r="J38" s="3">
        <v>30.8187141418457</v>
      </c>
      <c r="K38" s="3">
        <v>6.2117487222983536</v>
      </c>
      <c r="L38" s="3">
        <v>1.7162090822244433</v>
      </c>
    </row>
    <row r="39" spans="1:12" ht="17" x14ac:dyDescent="0.2">
      <c r="A39" s="6" t="s">
        <v>48</v>
      </c>
      <c r="B39" s="2">
        <v>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2.5</v>
      </c>
      <c r="I39" s="2">
        <f t="shared" si="0"/>
        <v>5.5</v>
      </c>
      <c r="J39" s="3">
        <v>29.975961685180661</v>
      </c>
      <c r="K39" s="3">
        <v>25.918948279419965</v>
      </c>
      <c r="L39" s="3">
        <v>2.8289578978925092</v>
      </c>
    </row>
    <row r="40" spans="1:12" ht="17" x14ac:dyDescent="0.2">
      <c r="A40" s="6" t="s">
        <v>49</v>
      </c>
      <c r="B40" s="2">
        <v>3</v>
      </c>
      <c r="C40" s="2">
        <v>2.5</v>
      </c>
      <c r="D40" s="2">
        <v>0.5</v>
      </c>
      <c r="E40" s="2">
        <v>0</v>
      </c>
      <c r="F40" s="2">
        <v>0</v>
      </c>
      <c r="G40" s="2">
        <v>0</v>
      </c>
      <c r="H40" s="2">
        <v>0</v>
      </c>
      <c r="I40" s="2">
        <f t="shared" si="0"/>
        <v>6</v>
      </c>
      <c r="J40" s="3">
        <v>32.904003143310547</v>
      </c>
      <c r="K40" s="3">
        <v>23.155297473247639</v>
      </c>
      <c r="L40" s="3">
        <v>1.6554439150237135</v>
      </c>
    </row>
    <row r="41" spans="1:12" ht="17" x14ac:dyDescent="0.2">
      <c r="A41" s="6" t="s">
        <v>50</v>
      </c>
      <c r="B41" s="2">
        <v>0</v>
      </c>
      <c r="C41" s="2">
        <v>0</v>
      </c>
      <c r="D41" s="2">
        <v>0</v>
      </c>
      <c r="E41" s="2">
        <v>0.5</v>
      </c>
      <c r="F41" s="2">
        <v>5.5</v>
      </c>
      <c r="G41" s="2">
        <v>0</v>
      </c>
      <c r="H41" s="2">
        <v>0</v>
      </c>
      <c r="I41" s="2">
        <f t="shared" si="0"/>
        <v>6</v>
      </c>
      <c r="J41" s="3">
        <v>30.81153678894043</v>
      </c>
      <c r="K41" s="3">
        <v>16.472147385078923</v>
      </c>
      <c r="L41" s="3">
        <v>5.3999846352396101</v>
      </c>
    </row>
    <row r="42" spans="1:12" ht="17" x14ac:dyDescent="0.2">
      <c r="A42" s="6" t="s">
        <v>51</v>
      </c>
      <c r="B42" s="2">
        <v>0</v>
      </c>
      <c r="C42" s="2">
        <v>0</v>
      </c>
      <c r="D42" s="2">
        <v>5.5</v>
      </c>
      <c r="E42" s="2">
        <v>0</v>
      </c>
      <c r="F42" s="2">
        <v>0</v>
      </c>
      <c r="G42" s="2">
        <v>0</v>
      </c>
      <c r="H42" s="2">
        <v>0</v>
      </c>
      <c r="I42" s="2">
        <f t="shared" si="0"/>
        <v>5.5</v>
      </c>
      <c r="J42" s="3">
        <v>83.634742736816406</v>
      </c>
      <c r="K42" s="3">
        <v>73.611945894085977</v>
      </c>
      <c r="L42" s="3">
        <v>6.3570067014269398</v>
      </c>
    </row>
    <row r="43" spans="1:12" ht="17" x14ac:dyDescent="0.2">
      <c r="A43" s="6" t="s">
        <v>52</v>
      </c>
      <c r="B43" s="2">
        <v>3</v>
      </c>
      <c r="C43" s="2">
        <v>0</v>
      </c>
      <c r="D43" s="2">
        <v>2</v>
      </c>
      <c r="E43" s="2">
        <v>0.5</v>
      </c>
      <c r="F43" s="2">
        <v>0</v>
      </c>
      <c r="G43" s="2">
        <v>0</v>
      </c>
      <c r="H43" s="2">
        <v>0</v>
      </c>
      <c r="I43" s="2">
        <f t="shared" si="0"/>
        <v>5.5</v>
      </c>
      <c r="J43" s="3">
        <v>77.670196533203125</v>
      </c>
      <c r="K43" s="3">
        <v>62.44599678679085</v>
      </c>
      <c r="L43" s="3">
        <v>6.7333150836639257</v>
      </c>
    </row>
    <row r="44" spans="1:12" ht="17" x14ac:dyDescent="0.2">
      <c r="A44" s="6" t="s">
        <v>53</v>
      </c>
      <c r="B44" s="2">
        <v>1</v>
      </c>
      <c r="C44" s="2">
        <v>0</v>
      </c>
      <c r="D44" s="2">
        <v>3.5</v>
      </c>
      <c r="E44" s="2">
        <v>1</v>
      </c>
      <c r="F44" s="2">
        <v>0</v>
      </c>
      <c r="G44" s="2">
        <v>0</v>
      </c>
      <c r="H44" s="2">
        <v>0</v>
      </c>
      <c r="I44" s="2">
        <f>SUM(B44:H44)</f>
        <v>5.5</v>
      </c>
      <c r="J44" s="3">
        <v>78.718910217285156</v>
      </c>
      <c r="K44" s="3">
        <v>56.740320291911615</v>
      </c>
      <c r="L44" s="3">
        <v>1.12189929609732</v>
      </c>
    </row>
    <row r="45" spans="1:12" ht="17" x14ac:dyDescent="0.2">
      <c r="A45" s="6" t="s">
        <v>54</v>
      </c>
      <c r="B45" s="2">
        <v>2.5</v>
      </c>
      <c r="C45" s="2">
        <v>0</v>
      </c>
      <c r="D45" s="2">
        <v>3.5</v>
      </c>
      <c r="E45" s="2">
        <v>0</v>
      </c>
      <c r="F45" s="2">
        <v>0</v>
      </c>
      <c r="G45" s="2">
        <v>0</v>
      </c>
      <c r="H45" s="2">
        <v>0</v>
      </c>
      <c r="I45" s="2">
        <f>SUM(B45:H45)</f>
        <v>6</v>
      </c>
      <c r="J45" s="3">
        <v>77.787338256835938</v>
      </c>
      <c r="K45" s="3">
        <v>56.399756740320292</v>
      </c>
      <c r="L45" s="3">
        <v>4.4152134466801467</v>
      </c>
    </row>
    <row r="46" spans="1:12" ht="17" x14ac:dyDescent="0.2">
      <c r="A46" s="6" t="s">
        <v>55</v>
      </c>
      <c r="B46" s="2">
        <v>0</v>
      </c>
      <c r="C46" s="2">
        <v>0</v>
      </c>
      <c r="D46" s="2">
        <v>4.5</v>
      </c>
      <c r="E46" s="2">
        <v>0</v>
      </c>
      <c r="F46" s="2">
        <v>1</v>
      </c>
      <c r="G46" s="2">
        <v>0</v>
      </c>
      <c r="H46" s="2">
        <v>0</v>
      </c>
      <c r="I46" s="2">
        <f t="shared" ref="I46:I47" si="1">SUM(B46:H46)</f>
        <v>5.5</v>
      </c>
      <c r="J46" s="3">
        <v>78.200279235839844</v>
      </c>
      <c r="K46" s="3">
        <v>66.130143928643832</v>
      </c>
      <c r="L46" s="3">
        <v>4.1789011058579799</v>
      </c>
    </row>
    <row r="47" spans="1:12" ht="17" x14ac:dyDescent="0.2">
      <c r="A47" s="6" t="s">
        <v>56</v>
      </c>
      <c r="B47" s="2">
        <v>1.5</v>
      </c>
      <c r="C47" s="2">
        <v>0</v>
      </c>
      <c r="D47" s="2">
        <v>4.5</v>
      </c>
      <c r="E47" s="2">
        <v>0</v>
      </c>
      <c r="F47" s="2">
        <v>0</v>
      </c>
      <c r="G47" s="2">
        <v>0</v>
      </c>
      <c r="H47" s="2">
        <v>0</v>
      </c>
      <c r="I47" s="2">
        <f t="shared" si="1"/>
        <v>6</v>
      </c>
      <c r="J47" s="3">
        <v>78.288116455078125</v>
      </c>
      <c r="K47" s="3">
        <v>68.708696533549571</v>
      </c>
      <c r="L47" s="3">
        <v>4.428462127855787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Emerson</dc:creator>
  <cp:lastModifiedBy>Daniel Emerson</cp:lastModifiedBy>
  <dcterms:created xsi:type="dcterms:W3CDTF">2024-03-15T11:30:46Z</dcterms:created>
  <dcterms:modified xsi:type="dcterms:W3CDTF">2024-03-15T11:37:42Z</dcterms:modified>
</cp:coreProperties>
</file>