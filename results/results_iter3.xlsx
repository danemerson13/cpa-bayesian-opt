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results/"/>
    </mc:Choice>
  </mc:AlternateContent>
  <xr:revisionPtr revIDLastSave="0" documentId="13_ncr:1_{995BD498-92C8-804C-97E5-DCDEFAE75237}" xr6:coauthVersionLast="47" xr6:coauthVersionMax="47" xr10:uidLastSave="{00000000-0000-0000-0000-000000000000}"/>
  <bookViews>
    <workbookView xWindow="3920" yWindow="960" windowWidth="26840" windowHeight="15540" xr2:uid="{EDD22DDA-2909-8143-8364-1567B15E9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<sst xmlns="http://schemas.openxmlformats.org/spreadsheetml/2006/main" count="55" uniqueCount="55">
  <si>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</si>
  <si>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</si>
  <si>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</si>
  <si>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</si>
  <si>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</si>
  <si>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</si>
  <si>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</si>
  <si>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</si>
  <si>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</si>
  <si>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</si>
  <si>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</si>
  <si>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</si>
  <si>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</si>
  <si>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</si>
  <si>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</si>
  <si>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</si>
  <si>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</si>
  <si>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</si>
  <si>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</si>
  <si>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</si>
  <si>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</si>
  <si>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</si>
  <si>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</si>
  <si>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</si>
  <si>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</si>
  <si>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</si>
  <si>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</si>
  <si>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</si>
  <si>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</si>
  <si>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</si>
  <si>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</si>
  <si>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</si>
  <si>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</si>
  <si>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</si>
  <si>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</si>
  <si>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</si>
  <si>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</si>
  <si>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</si>
  <si>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</si>
  <si>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</si>
  <si>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</si>
  <si>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</si>
  <si>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</si>
  <si>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</si>
  <si>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</si>
  <si>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</si>
  <si>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</si>
  <si>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</si>
  <si>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</si>
  <si>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</si>
  <si>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n=1</t>
  </si>
  <si>
    <t>n=3</t>
  </si>
  <si>
    <t>n=2</t>
  </si>
  <si>
    <t>Experimental 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</si>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</sst>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BA8A-26F1-E043-9018-0E0957675FC4}">
  <dimension ref="A1:P41"/>
  <sheetViews>
    <sheetView tabSelected="1" zoomScale="106" workbookViewId="0">
      <selection activeCell="O1" sqref="O1:P1"/>
    </sheetView>
  </sheetViews>
  <sheetFormatPr baseColWidth="10" defaultRowHeight="16" x14ac:dyDescent="0.2"/>
  <cols>
    <col min="1" max="1" width="16.83203125" customWidth="1"/>
    <col min="10" max="11" width="14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t="s">
        <v>50</v>
      </c>
      <c r="M1" t="s">
        <v>52</v>
      </c>
      <c r="N1" t="s">
        <v>51</v>
      </c>
      <c r="O1" t="s">
        <v>53</v>
      </c>
      <c r="P1" t="s">
        <v>54</v>
      </c>
    </row>
    <row r="2" spans="1:16" x14ac:dyDescent="0.2">
      <c r="A2" s="1" t="s">
        <v>10</v>
      </c>
      <c r="B2">
        <v>1</v>
      </c>
      <c r="C2">
        <v>0</v>
      </c>
      <c r="D2">
        <v>0</v>
      </c>
      <c r="E2">
        <v>0</v>
      </c>
      <c r="F2">
        <v>0.5</v>
      </c>
      <c r="G2">
        <v>0.5</v>
      </c>
      <c r="H2">
        <v>3.5</v>
      </c>
      <c r="I2">
        <v>5.5</v>
      </c>
      <c r="J2" s="2">
        <v>7.8044872430430914</v>
      </c>
      <c r="L2">
        <v>28.026072696323666</v>
      </c>
      <c r="M2">
        <v>24.587202370199083</v>
      </c>
      <c r="N2">
        <v>23.337066878635692</v>
      </c>
      <c r="O2" s="2">
        <f>AVERAGE(L2:N2)</f>
        <v>25.316780648386146</v>
      </c>
      <c r="P2">
        <f>_xlfn.STDEV.P(L2:N2)</f>
        <v>1.9825753012314928</v>
      </c>
    </row>
    <row r="3" spans="1:16" x14ac:dyDescent="0.2">
      <c r="A3" s="1" t="s">
        <v>11</v>
      </c>
      <c r="B3">
        <v>1</v>
      </c>
      <c r="C3">
        <v>0.5</v>
      </c>
      <c r="D3">
        <v>0</v>
      </c>
      <c r="E3">
        <v>0.5</v>
      </c>
      <c r="F3">
        <v>0</v>
      </c>
      <c r="G3">
        <v>3</v>
      </c>
      <c r="H3">
        <v>0.5</v>
      </c>
      <c r="I3">
        <v>5.5</v>
      </c>
      <c r="J3" s="2">
        <v>15.729810196259249</v>
      </c>
      <c r="L3">
        <v>4.6353766632761069</v>
      </c>
      <c r="M3">
        <v>3.5805903819055542</v>
      </c>
      <c r="N3">
        <v>3.5661379484770754</v>
      </c>
      <c r="O3" s="2">
        <f t="shared" ref="O3:O41" si="0">AVERAGE(L3:N3)</f>
        <v>3.9273683312195788</v>
      </c>
      <c r="P3">
        <f t="shared" ref="P3:P41" si="1">_xlfn.STDEV.P(L3:N3)</f>
        <v>0.50067225933678638</v>
      </c>
    </row>
    <row r="4" spans="1:16" x14ac:dyDescent="0.2">
      <c r="A4" s="1" t="s">
        <v>12</v>
      </c>
      <c r="B4">
        <v>1</v>
      </c>
      <c r="C4">
        <v>0</v>
      </c>
      <c r="D4">
        <v>1.5</v>
      </c>
      <c r="E4">
        <v>0</v>
      </c>
      <c r="F4">
        <v>0.5</v>
      </c>
      <c r="G4">
        <v>3</v>
      </c>
      <c r="H4">
        <v>0</v>
      </c>
      <c r="I4">
        <v>6</v>
      </c>
      <c r="J4" s="2">
        <v>13.022708345628519</v>
      </c>
      <c r="L4">
        <v>4.2617233720133676</v>
      </c>
      <c r="M4">
        <v>1.95469162120172</v>
      </c>
      <c r="N4">
        <v>1.4849875347761679</v>
      </c>
      <c r="O4" s="2">
        <f t="shared" si="0"/>
        <v>2.5671341759970852</v>
      </c>
      <c r="P4">
        <f t="shared" si="1"/>
        <v>1.2135017894898354</v>
      </c>
    </row>
    <row r="5" spans="1:16" x14ac:dyDescent="0.2">
      <c r="A5" s="1" t="s">
        <v>13</v>
      </c>
      <c r="B5">
        <v>0</v>
      </c>
      <c r="C5">
        <v>0</v>
      </c>
      <c r="D5">
        <v>0.5</v>
      </c>
      <c r="E5">
        <v>4</v>
      </c>
      <c r="F5">
        <v>0.5</v>
      </c>
      <c r="G5">
        <v>0.5</v>
      </c>
      <c r="H5">
        <v>0.5</v>
      </c>
      <c r="I5">
        <v>6</v>
      </c>
      <c r="J5" s="2">
        <v>10.58361075492637</v>
      </c>
      <c r="L5">
        <v>1.1230357254063468</v>
      </c>
      <c r="M5">
        <v>0.45886476135419269</v>
      </c>
      <c r="N5">
        <v>1.1598077826354019</v>
      </c>
      <c r="O5" s="2">
        <f t="shared" si="0"/>
        <v>0.91390275646531371</v>
      </c>
      <c r="P5">
        <f t="shared" si="1"/>
        <v>0.32211046634581342</v>
      </c>
    </row>
    <row r="6" spans="1:16" x14ac:dyDescent="0.2">
      <c r="A6" s="1" t="s">
        <v>14</v>
      </c>
      <c r="B6">
        <v>1.5</v>
      </c>
      <c r="C6">
        <v>0</v>
      </c>
      <c r="D6">
        <v>1.5</v>
      </c>
      <c r="E6">
        <v>1.5</v>
      </c>
      <c r="F6">
        <v>1</v>
      </c>
      <c r="G6">
        <v>0</v>
      </c>
      <c r="H6">
        <v>0.5</v>
      </c>
      <c r="I6">
        <v>6</v>
      </c>
      <c r="J6" s="2">
        <v>42.327138836103423</v>
      </c>
      <c r="L6">
        <v>59.936063770161709</v>
      </c>
      <c r="M6">
        <v>46.374245763630455</v>
      </c>
      <c r="N6">
        <v>44.538786718213679</v>
      </c>
      <c r="O6" s="2">
        <f t="shared" si="0"/>
        <v>50.283032084001945</v>
      </c>
      <c r="P6">
        <f t="shared" si="1"/>
        <v>6.8667310528059557</v>
      </c>
    </row>
    <row r="7" spans="1:16" x14ac:dyDescent="0.2">
      <c r="A7" s="1" t="s">
        <v>15</v>
      </c>
      <c r="B7">
        <v>1</v>
      </c>
      <c r="C7">
        <v>1</v>
      </c>
      <c r="D7">
        <v>0.5</v>
      </c>
      <c r="E7">
        <v>0.5</v>
      </c>
      <c r="F7">
        <v>0</v>
      </c>
      <c r="G7">
        <v>0</v>
      </c>
      <c r="H7">
        <v>2</v>
      </c>
      <c r="I7">
        <v>5</v>
      </c>
      <c r="J7" s="2">
        <v>35.432277576886221</v>
      </c>
      <c r="L7">
        <v>35.200215888568287</v>
      </c>
      <c r="M7">
        <v>35.708349893413299</v>
      </c>
      <c r="N7">
        <v>46.554901181486429</v>
      </c>
      <c r="O7" s="2">
        <f t="shared" si="0"/>
        <v>39.154488987822674</v>
      </c>
      <c r="P7">
        <f t="shared" si="1"/>
        <v>5.236991854033203</v>
      </c>
    </row>
    <row r="8" spans="1:16" x14ac:dyDescent="0.2">
      <c r="A8" s="1" t="s">
        <v>16</v>
      </c>
      <c r="B8">
        <v>1</v>
      </c>
      <c r="C8">
        <v>0</v>
      </c>
      <c r="D8">
        <v>1</v>
      </c>
      <c r="E8">
        <v>1.5</v>
      </c>
      <c r="F8">
        <v>1.5</v>
      </c>
      <c r="G8">
        <v>0</v>
      </c>
      <c r="H8">
        <v>1</v>
      </c>
      <c r="I8">
        <v>6</v>
      </c>
      <c r="J8" s="2">
        <v>29.455673893828308</v>
      </c>
      <c r="L8">
        <v>45.811969360430105</v>
      </c>
      <c r="M8">
        <v>32.261444520721177</v>
      </c>
      <c r="N8">
        <v>28.279799111175347</v>
      </c>
      <c r="O8" s="2">
        <f t="shared" si="0"/>
        <v>35.451070997442208</v>
      </c>
      <c r="P8">
        <f t="shared" si="1"/>
        <v>7.5044225275483729</v>
      </c>
    </row>
    <row r="9" spans="1:16" x14ac:dyDescent="0.2">
      <c r="A9" s="1" t="s">
        <v>17</v>
      </c>
      <c r="B9">
        <v>3.5</v>
      </c>
      <c r="C9">
        <v>0</v>
      </c>
      <c r="D9">
        <v>0</v>
      </c>
      <c r="E9">
        <v>0</v>
      </c>
      <c r="F9">
        <v>0</v>
      </c>
      <c r="G9">
        <v>0</v>
      </c>
      <c r="H9">
        <v>0.5</v>
      </c>
      <c r="I9">
        <v>4</v>
      </c>
      <c r="J9" s="2">
        <v>71.920720864157005</v>
      </c>
      <c r="L9">
        <v>71.743507774064298</v>
      </c>
      <c r="M9">
        <v>83.314665606821549</v>
      </c>
      <c r="N9">
        <v>76.146258626296216</v>
      </c>
      <c r="O9" s="2">
        <f t="shared" si="0"/>
        <v>77.068144002394021</v>
      </c>
      <c r="P9">
        <f t="shared" si="1"/>
        <v>4.7686705263027003</v>
      </c>
    </row>
    <row r="10" spans="1:16" x14ac:dyDescent="0.2">
      <c r="A10" s="1" t="s">
        <v>18</v>
      </c>
      <c r="B10">
        <v>3.5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5.5</v>
      </c>
      <c r="J10" s="2">
        <v>42.877849159996309</v>
      </c>
      <c r="L10">
        <v>24.812654391464093</v>
      </c>
      <c r="M10">
        <v>50.016258987607038</v>
      </c>
      <c r="N10">
        <v>58.911731762835565</v>
      </c>
      <c r="O10" s="2">
        <f t="shared" si="0"/>
        <v>44.580215047302232</v>
      </c>
      <c r="P10">
        <f t="shared" si="1"/>
        <v>14.441830439972804</v>
      </c>
    </row>
    <row r="11" spans="1:16" x14ac:dyDescent="0.2">
      <c r="A11" s="1" t="s">
        <v>19</v>
      </c>
      <c r="B11">
        <v>1.5</v>
      </c>
      <c r="C11">
        <v>1</v>
      </c>
      <c r="D11">
        <v>0</v>
      </c>
      <c r="E11">
        <v>3</v>
      </c>
      <c r="F11">
        <v>0</v>
      </c>
      <c r="G11">
        <v>0</v>
      </c>
      <c r="H11">
        <v>0</v>
      </c>
      <c r="I11">
        <v>5.5</v>
      </c>
      <c r="J11" s="2">
        <v>27.044820860332859</v>
      </c>
      <c r="L11">
        <v>31.239491001183232</v>
      </c>
      <c r="M11">
        <v>21.01022509665065</v>
      </c>
      <c r="N11">
        <v>6.6878635690284352</v>
      </c>
      <c r="O11" s="2">
        <f t="shared" si="0"/>
        <v>19.645859888954107</v>
      </c>
      <c r="P11">
        <f t="shared" si="1"/>
        <v>10.069482664858</v>
      </c>
    </row>
    <row r="12" spans="1:16" x14ac:dyDescent="0.2">
      <c r="A12" s="1" t="s">
        <v>20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  <c r="H12">
        <v>0.5</v>
      </c>
      <c r="I12">
        <v>4.5</v>
      </c>
      <c r="J12" s="2">
        <v>87.958506751350669</v>
      </c>
      <c r="L12">
        <v>77.049384509995221</v>
      </c>
      <c r="M12">
        <v>71.803302381038407</v>
      </c>
      <c r="N12">
        <v>66.130722260360599</v>
      </c>
      <c r="O12" s="2">
        <f t="shared" si="0"/>
        <v>71.661136383798066</v>
      </c>
      <c r="P12">
        <f t="shared" si="1"/>
        <v>4.4586585956224951</v>
      </c>
    </row>
    <row r="13" spans="1:16" x14ac:dyDescent="0.2">
      <c r="A13" s="1" t="s">
        <v>21</v>
      </c>
      <c r="B13">
        <v>2.5</v>
      </c>
      <c r="C13">
        <v>0</v>
      </c>
      <c r="D13">
        <v>1.5</v>
      </c>
      <c r="E13">
        <v>0.5</v>
      </c>
      <c r="F13">
        <v>0</v>
      </c>
      <c r="G13">
        <v>0</v>
      </c>
      <c r="H13">
        <v>0.5</v>
      </c>
      <c r="I13">
        <v>5</v>
      </c>
      <c r="J13" s="2">
        <v>84.043340892372242</v>
      </c>
      <c r="L13">
        <v>61.804330226475408</v>
      </c>
      <c r="M13">
        <v>69.006756512627831</v>
      </c>
      <c r="N13">
        <v>77.121797882718496</v>
      </c>
      <c r="O13" s="2">
        <f t="shared" si="0"/>
        <v>69.310961540607252</v>
      </c>
      <c r="P13">
        <f t="shared" si="1"/>
        <v>6.2570285479237535</v>
      </c>
    </row>
    <row r="14" spans="1:16" x14ac:dyDescent="0.2">
      <c r="A14" s="1" t="s">
        <v>22</v>
      </c>
      <c r="B14">
        <v>2.5</v>
      </c>
      <c r="C14">
        <v>0</v>
      </c>
      <c r="D14">
        <v>1.5</v>
      </c>
      <c r="E14">
        <v>0.5</v>
      </c>
      <c r="F14">
        <v>0</v>
      </c>
      <c r="G14">
        <v>0</v>
      </c>
      <c r="H14">
        <v>0</v>
      </c>
      <c r="I14">
        <v>4.5</v>
      </c>
      <c r="J14" s="2">
        <v>85.867563584062225</v>
      </c>
      <c r="L14">
        <v>77.273576484752866</v>
      </c>
      <c r="M14">
        <v>83.769917259818641</v>
      </c>
      <c r="N14">
        <v>81.674314412689242</v>
      </c>
      <c r="O14" s="2">
        <f t="shared" si="0"/>
        <v>80.905936052420245</v>
      </c>
      <c r="P14">
        <f t="shared" si="1"/>
        <v>2.7072021036293537</v>
      </c>
    </row>
    <row r="15" spans="1:16" x14ac:dyDescent="0.2">
      <c r="A15" s="1" t="s">
        <v>23</v>
      </c>
      <c r="B15">
        <v>3</v>
      </c>
      <c r="C15">
        <v>0</v>
      </c>
      <c r="D15">
        <v>1</v>
      </c>
      <c r="E15">
        <v>0</v>
      </c>
      <c r="F15">
        <v>0.5</v>
      </c>
      <c r="G15">
        <v>0</v>
      </c>
      <c r="H15">
        <v>0</v>
      </c>
      <c r="I15">
        <v>4.5</v>
      </c>
      <c r="J15" s="2">
        <v>87.761637574227109</v>
      </c>
      <c r="L15">
        <v>75.554771344944271</v>
      </c>
      <c r="M15">
        <v>73.038985439173331</v>
      </c>
      <c r="N15">
        <v>77.707121436571896</v>
      </c>
      <c r="O15" s="2">
        <f t="shared" si="0"/>
        <v>75.433626073563161</v>
      </c>
      <c r="P15">
        <f t="shared" si="1"/>
        <v>1.9076828099617915</v>
      </c>
    </row>
    <row r="16" spans="1:16" x14ac:dyDescent="0.2">
      <c r="A16" s="1" t="s">
        <v>24</v>
      </c>
      <c r="B16">
        <v>3</v>
      </c>
      <c r="C16">
        <v>0</v>
      </c>
      <c r="D16">
        <v>1</v>
      </c>
      <c r="E16">
        <v>0.5</v>
      </c>
      <c r="F16">
        <v>0</v>
      </c>
      <c r="G16">
        <v>0.5</v>
      </c>
      <c r="H16">
        <v>0</v>
      </c>
      <c r="I16">
        <v>5</v>
      </c>
      <c r="J16" s="2">
        <v>73.152205458884765</v>
      </c>
      <c r="L16">
        <v>65.615593797355359</v>
      </c>
      <c r="M16">
        <v>72.648769736604407</v>
      </c>
      <c r="N16">
        <v>75.495899122014677</v>
      </c>
      <c r="O16" s="2">
        <f t="shared" si="0"/>
        <v>71.253420885324815</v>
      </c>
      <c r="P16">
        <f t="shared" si="1"/>
        <v>4.1525379500331505</v>
      </c>
    </row>
    <row r="17" spans="1:16" x14ac:dyDescent="0.2">
      <c r="A17" s="1" t="s">
        <v>25</v>
      </c>
      <c r="B17">
        <v>2.5</v>
      </c>
      <c r="C17">
        <v>0</v>
      </c>
      <c r="D17">
        <v>2</v>
      </c>
      <c r="E17">
        <v>0</v>
      </c>
      <c r="F17">
        <v>0</v>
      </c>
      <c r="G17">
        <v>0</v>
      </c>
      <c r="H17">
        <v>0.5</v>
      </c>
      <c r="I17">
        <v>5</v>
      </c>
      <c r="J17" s="2">
        <v>83.855766555046387</v>
      </c>
      <c r="L17">
        <v>80.188072156602232</v>
      </c>
      <c r="M17">
        <v>77.3963941178596</v>
      </c>
      <c r="N17">
        <v>76.601510279293279</v>
      </c>
      <c r="O17" s="2">
        <f t="shared" si="0"/>
        <v>78.061992184585037</v>
      </c>
      <c r="P17">
        <f t="shared" si="1"/>
        <v>1.5379904886491678</v>
      </c>
    </row>
    <row r="18" spans="1:16" x14ac:dyDescent="0.2">
      <c r="A18" s="1" t="s">
        <v>26</v>
      </c>
      <c r="B18">
        <v>2.5</v>
      </c>
      <c r="C18">
        <v>0</v>
      </c>
      <c r="D18">
        <v>1</v>
      </c>
      <c r="E18">
        <v>0.5</v>
      </c>
      <c r="F18">
        <v>0</v>
      </c>
      <c r="G18">
        <v>0</v>
      </c>
      <c r="H18">
        <v>1</v>
      </c>
      <c r="I18">
        <v>5</v>
      </c>
      <c r="J18" s="2">
        <v>79.365612212973673</v>
      </c>
      <c r="L18">
        <v>74.658003445913693</v>
      </c>
      <c r="M18">
        <v>67.510929652780305</v>
      </c>
      <c r="N18">
        <v>63.269140441521856</v>
      </c>
      <c r="O18" s="2">
        <f t="shared" si="0"/>
        <v>68.479357846738608</v>
      </c>
      <c r="P18">
        <f t="shared" si="1"/>
        <v>4.699641121641899</v>
      </c>
    </row>
    <row r="19" spans="1:16" x14ac:dyDescent="0.2">
      <c r="A19" s="1" t="s">
        <v>27</v>
      </c>
      <c r="B19">
        <v>2.5</v>
      </c>
      <c r="C19">
        <v>0</v>
      </c>
      <c r="D19">
        <v>0.5</v>
      </c>
      <c r="E19">
        <v>1</v>
      </c>
      <c r="F19">
        <v>0</v>
      </c>
      <c r="G19">
        <v>0</v>
      </c>
      <c r="H19">
        <v>0.5</v>
      </c>
      <c r="I19">
        <v>4.5</v>
      </c>
      <c r="J19" s="2">
        <v>82.312109787941239</v>
      </c>
      <c r="L19">
        <v>77.721960434268155</v>
      </c>
      <c r="M19">
        <v>76.550926762293599</v>
      </c>
      <c r="N19">
        <v>68.081800773205188</v>
      </c>
      <c r="O19" s="2">
        <f t="shared" si="0"/>
        <v>74.118229323255648</v>
      </c>
      <c r="P19">
        <f t="shared" si="1"/>
        <v>4.2950888384388337</v>
      </c>
    </row>
    <row r="20" spans="1:16" x14ac:dyDescent="0.2">
      <c r="A20" s="1" t="s">
        <v>28</v>
      </c>
      <c r="B20">
        <v>2</v>
      </c>
      <c r="C20">
        <v>0</v>
      </c>
      <c r="D20">
        <v>1</v>
      </c>
      <c r="E20">
        <v>0</v>
      </c>
      <c r="F20">
        <v>1</v>
      </c>
      <c r="G20">
        <v>0.5</v>
      </c>
      <c r="H20">
        <v>1</v>
      </c>
      <c r="I20">
        <v>5.5</v>
      </c>
      <c r="J20" s="2">
        <v>51.160571753599669</v>
      </c>
      <c r="L20">
        <v>63.37367404977892</v>
      </c>
      <c r="M20">
        <v>62.763305271525091</v>
      </c>
      <c r="N20">
        <v>62.618780937240317</v>
      </c>
      <c r="O20" s="2">
        <f t="shared" si="0"/>
        <v>62.918586752848114</v>
      </c>
      <c r="P20">
        <f t="shared" si="1"/>
        <v>0.32715965182252965</v>
      </c>
    </row>
    <row r="21" spans="1:16" x14ac:dyDescent="0.2">
      <c r="A21" s="1" t="s">
        <v>29</v>
      </c>
      <c r="B21">
        <v>2</v>
      </c>
      <c r="C21">
        <v>0</v>
      </c>
      <c r="D21">
        <v>2</v>
      </c>
      <c r="E21">
        <v>0</v>
      </c>
      <c r="F21">
        <v>0</v>
      </c>
      <c r="G21">
        <v>0.5</v>
      </c>
      <c r="H21">
        <v>0.5</v>
      </c>
      <c r="I21">
        <v>5</v>
      </c>
      <c r="J21" s="2">
        <v>80.062065711605868</v>
      </c>
      <c r="L21">
        <v>71.070931849791364</v>
      </c>
      <c r="M21">
        <v>68.941720562199663</v>
      </c>
      <c r="N21">
        <v>67.756621021064433</v>
      </c>
      <c r="O21" s="2">
        <f t="shared" si="0"/>
        <v>69.256424477685158</v>
      </c>
      <c r="P21">
        <f t="shared" si="1"/>
        <v>1.371238608745289</v>
      </c>
    </row>
    <row r="22" spans="1:16" x14ac:dyDescent="0.2">
      <c r="A22" s="1" t="s">
        <v>30</v>
      </c>
      <c r="B22">
        <v>2.5</v>
      </c>
      <c r="C22">
        <v>0</v>
      </c>
      <c r="D22">
        <v>0</v>
      </c>
      <c r="E22">
        <v>0</v>
      </c>
      <c r="F22">
        <v>0.5</v>
      </c>
      <c r="G22">
        <v>0</v>
      </c>
      <c r="H22">
        <v>0</v>
      </c>
      <c r="I22">
        <v>3</v>
      </c>
      <c r="J22" s="2">
        <v>94.282902228762154</v>
      </c>
      <c r="L22">
        <v>75.330579370186612</v>
      </c>
      <c r="M22">
        <v>70.63265527333165</v>
      </c>
      <c r="N22">
        <v>67.691585070636279</v>
      </c>
      <c r="O22" s="2">
        <f t="shared" si="0"/>
        <v>71.218273238051509</v>
      </c>
      <c r="P22">
        <f t="shared" si="1"/>
        <v>3.1459783616115984</v>
      </c>
    </row>
    <row r="23" spans="1:16" x14ac:dyDescent="0.2">
      <c r="A23" s="1" t="s">
        <v>31</v>
      </c>
      <c r="B23">
        <v>0</v>
      </c>
      <c r="C23">
        <v>0</v>
      </c>
      <c r="D23">
        <v>0</v>
      </c>
      <c r="E23">
        <v>1</v>
      </c>
      <c r="F23">
        <v>0.5</v>
      </c>
      <c r="G23">
        <v>0</v>
      </c>
      <c r="H23">
        <v>0</v>
      </c>
      <c r="I23">
        <v>1.5</v>
      </c>
      <c r="J23" s="2">
        <v>98.850327770026439</v>
      </c>
      <c r="L23">
        <v>95.881510389637342</v>
      </c>
      <c r="M23">
        <v>90.013368500921359</v>
      </c>
      <c r="N23">
        <v>83.950572677674614</v>
      </c>
      <c r="O23" s="2">
        <f t="shared" si="0"/>
        <v>89.948483856077772</v>
      </c>
      <c r="P23">
        <f t="shared" si="1"/>
        <v>4.8710010048952608</v>
      </c>
    </row>
    <row r="24" spans="1:16" x14ac:dyDescent="0.2">
      <c r="A24" s="1" t="s">
        <v>32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2</v>
      </c>
      <c r="J24" s="2">
        <v>87.307752202741341</v>
      </c>
      <c r="L24">
        <v>85.120295601270413</v>
      </c>
      <c r="M24">
        <v>81.558694945261422</v>
      </c>
      <c r="N24">
        <v>82.259637966542627</v>
      </c>
      <c r="O24" s="2">
        <f t="shared" si="0"/>
        <v>82.979542837691497</v>
      </c>
      <c r="P24">
        <f t="shared" si="1"/>
        <v>1.5405512164695709</v>
      </c>
    </row>
    <row r="25" spans="1:16" x14ac:dyDescent="0.2">
      <c r="A25" s="1" t="s">
        <v>33</v>
      </c>
      <c r="B25">
        <v>2.5</v>
      </c>
      <c r="C25">
        <v>0</v>
      </c>
      <c r="D25">
        <v>1</v>
      </c>
      <c r="E25">
        <v>0.5</v>
      </c>
      <c r="F25">
        <v>0</v>
      </c>
      <c r="G25">
        <v>0</v>
      </c>
      <c r="H25">
        <v>0</v>
      </c>
      <c r="I25">
        <v>4</v>
      </c>
      <c r="J25" s="2">
        <v>89.640789125678751</v>
      </c>
      <c r="L25">
        <v>80.188072156602232</v>
      </c>
      <c r="M25">
        <v>81.948910647830346</v>
      </c>
      <c r="N25">
        <v>82.454745817827074</v>
      </c>
      <c r="O25" s="2">
        <f t="shared" si="0"/>
        <v>81.530576207419884</v>
      </c>
      <c r="P25">
        <f t="shared" si="1"/>
        <v>0.97149546221199923</v>
      </c>
    </row>
    <row r="26" spans="1:16" x14ac:dyDescent="0.2">
      <c r="A26" s="1" t="s">
        <v>34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2</v>
      </c>
      <c r="J26" s="2">
        <v>97.400554450317884</v>
      </c>
      <c r="L26">
        <v>89.529404438170744</v>
      </c>
      <c r="M26">
        <v>87.86718213679228</v>
      </c>
      <c r="N26">
        <v>86.486974744372603</v>
      </c>
      <c r="O26" s="2">
        <f t="shared" si="0"/>
        <v>87.961187106445209</v>
      </c>
      <c r="P26">
        <f t="shared" si="1"/>
        <v>1.2438441250590173</v>
      </c>
    </row>
    <row r="27" spans="1:16" x14ac:dyDescent="0.2">
      <c r="A27" s="1" t="s">
        <v>35</v>
      </c>
      <c r="B27">
        <v>0.5</v>
      </c>
      <c r="C27">
        <v>0</v>
      </c>
      <c r="D27">
        <v>4.5</v>
      </c>
      <c r="E27">
        <v>0</v>
      </c>
      <c r="F27">
        <v>0</v>
      </c>
      <c r="G27">
        <v>0</v>
      </c>
      <c r="H27">
        <v>0</v>
      </c>
      <c r="I27">
        <v>5</v>
      </c>
      <c r="J27" s="2">
        <v>81.215183299328771</v>
      </c>
      <c r="L27">
        <v>86.465447449816281</v>
      </c>
      <c r="M27">
        <v>85.525887921378768</v>
      </c>
      <c r="N27">
        <v>84.600932181956125</v>
      </c>
      <c r="O27" s="2">
        <f t="shared" si="0"/>
        <v>85.530755851050387</v>
      </c>
      <c r="P27">
        <f t="shared" si="1"/>
        <v>0.76119295345108284</v>
      </c>
    </row>
    <row r="28" spans="1:16" x14ac:dyDescent="0.2">
      <c r="A28" s="1" t="s">
        <v>36</v>
      </c>
      <c r="B28">
        <v>2.5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2.5</v>
      </c>
      <c r="J28" s="2">
        <v>95.294039276753637</v>
      </c>
      <c r="L28">
        <v>89.977788387686033</v>
      </c>
      <c r="M28">
        <v>86.111211475232153</v>
      </c>
      <c r="N28">
        <v>90.519203670918102</v>
      </c>
      <c r="O28" s="2">
        <f t="shared" si="0"/>
        <v>88.86940117794542</v>
      </c>
      <c r="P28">
        <f t="shared" si="1"/>
        <v>1.9628194779185169</v>
      </c>
    </row>
    <row r="29" spans="1:16" x14ac:dyDescent="0.2">
      <c r="A29" s="1" t="s">
        <v>37</v>
      </c>
      <c r="B29">
        <v>0</v>
      </c>
      <c r="C29">
        <v>0</v>
      </c>
      <c r="D29">
        <v>0.5</v>
      </c>
      <c r="E29">
        <v>1.5</v>
      </c>
      <c r="F29">
        <v>0.5</v>
      </c>
      <c r="G29">
        <v>0</v>
      </c>
      <c r="H29">
        <v>0</v>
      </c>
      <c r="I29">
        <v>2.5</v>
      </c>
      <c r="J29" s="2">
        <v>95.056330339332831</v>
      </c>
      <c r="L29">
        <v>92.668092084777768</v>
      </c>
      <c r="M29">
        <v>90.59869205477473</v>
      </c>
      <c r="N29">
        <v>88.568125158073499</v>
      </c>
      <c r="O29" s="2">
        <f t="shared" si="0"/>
        <v>90.611636432541999</v>
      </c>
      <c r="P29">
        <f t="shared" si="1"/>
        <v>1.6738295149554605</v>
      </c>
    </row>
    <row r="30" spans="1:16" x14ac:dyDescent="0.2">
      <c r="A30" s="1" t="s">
        <v>38</v>
      </c>
      <c r="B30">
        <v>2.5</v>
      </c>
      <c r="C30">
        <v>0</v>
      </c>
      <c r="D30">
        <v>0</v>
      </c>
      <c r="E30">
        <v>0</v>
      </c>
      <c r="F30">
        <v>2</v>
      </c>
      <c r="G30">
        <v>0</v>
      </c>
      <c r="H30">
        <v>1.5</v>
      </c>
      <c r="I30">
        <v>6</v>
      </c>
      <c r="J30" s="2">
        <v>53.380292247105153</v>
      </c>
      <c r="L30">
        <v>46.185622651692846</v>
      </c>
      <c r="M30">
        <v>38.960147414820973</v>
      </c>
      <c r="N30">
        <v>36.929580518119742</v>
      </c>
      <c r="O30" s="2">
        <f t="shared" si="0"/>
        <v>40.691783528211182</v>
      </c>
      <c r="P30">
        <f t="shared" si="1"/>
        <v>3.9721951711463865</v>
      </c>
    </row>
    <row r="31" spans="1:16" x14ac:dyDescent="0.2">
      <c r="A31" s="1" t="s">
        <v>39</v>
      </c>
      <c r="B31">
        <v>0</v>
      </c>
      <c r="C31">
        <v>0</v>
      </c>
      <c r="D31">
        <v>0</v>
      </c>
      <c r="E31">
        <v>1.5</v>
      </c>
      <c r="F31">
        <v>0</v>
      </c>
      <c r="G31">
        <v>0</v>
      </c>
      <c r="H31">
        <v>0</v>
      </c>
      <c r="I31">
        <v>1.5</v>
      </c>
      <c r="J31" s="2">
        <v>97.596270377638831</v>
      </c>
      <c r="L31">
        <v>93.415398667303251</v>
      </c>
      <c r="M31">
        <v>93.330201972757166</v>
      </c>
      <c r="N31">
        <v>87.722657802507499</v>
      </c>
      <c r="O31" s="2">
        <f t="shared" si="0"/>
        <v>91.489419480855972</v>
      </c>
      <c r="P31">
        <f t="shared" si="1"/>
        <v>2.6637298130373943</v>
      </c>
    </row>
    <row r="32" spans="1:16" x14ac:dyDescent="0.2">
      <c r="A32" s="1" t="s">
        <v>40</v>
      </c>
      <c r="B32">
        <v>0</v>
      </c>
      <c r="C32">
        <v>0</v>
      </c>
      <c r="D32">
        <v>0.5</v>
      </c>
      <c r="E32">
        <v>1</v>
      </c>
      <c r="F32">
        <v>0.5</v>
      </c>
      <c r="G32">
        <v>0.5</v>
      </c>
      <c r="H32">
        <v>0</v>
      </c>
      <c r="I32">
        <v>2.5</v>
      </c>
      <c r="J32" s="2">
        <v>102.938775890188</v>
      </c>
      <c r="L32">
        <v>95.657318414879683</v>
      </c>
      <c r="M32">
        <v>91.574231311197039</v>
      </c>
      <c r="N32">
        <v>87.722657802507499</v>
      </c>
      <c r="O32" s="2">
        <f t="shared" si="0"/>
        <v>91.651402509528069</v>
      </c>
      <c r="P32">
        <f t="shared" si="1"/>
        <v>3.2397712165904058</v>
      </c>
    </row>
    <row r="33" spans="1:16" x14ac:dyDescent="0.2">
      <c r="A33" s="1" t="s">
        <v>41</v>
      </c>
      <c r="B33">
        <v>2</v>
      </c>
      <c r="C33">
        <v>0</v>
      </c>
      <c r="D33">
        <v>2.5</v>
      </c>
      <c r="E33">
        <v>0</v>
      </c>
      <c r="F33">
        <v>0</v>
      </c>
      <c r="G33">
        <v>0</v>
      </c>
      <c r="H33">
        <v>0</v>
      </c>
      <c r="I33">
        <v>4.5</v>
      </c>
      <c r="J33" s="2">
        <v>93.059775688955767</v>
      </c>
      <c r="L33">
        <v>91.54713221098956</v>
      </c>
      <c r="M33">
        <v>89.68818874878059</v>
      </c>
      <c r="N33">
        <v>84.926111934096909</v>
      </c>
      <c r="O33" s="2">
        <f t="shared" si="0"/>
        <v>88.720477631289029</v>
      </c>
      <c r="P33">
        <f t="shared" si="1"/>
        <v>2.78828812259942</v>
      </c>
    </row>
    <row r="34" spans="1:16" x14ac:dyDescent="0.2">
      <c r="A34" s="1" t="s">
        <v>42</v>
      </c>
      <c r="B34">
        <v>0.5</v>
      </c>
      <c r="C34">
        <v>0</v>
      </c>
      <c r="D34">
        <v>5</v>
      </c>
      <c r="E34">
        <v>0</v>
      </c>
      <c r="F34">
        <v>0</v>
      </c>
      <c r="G34">
        <v>0</v>
      </c>
      <c r="H34">
        <v>0.5</v>
      </c>
      <c r="I34">
        <v>6</v>
      </c>
      <c r="J34" s="2">
        <v>81.880055599087925</v>
      </c>
      <c r="L34">
        <v>82.579453220683774</v>
      </c>
      <c r="M34">
        <v>78.111789572569279</v>
      </c>
      <c r="N34">
        <v>78.617624742566036</v>
      </c>
      <c r="O34" s="2">
        <f t="shared" si="0"/>
        <v>79.769622511939701</v>
      </c>
      <c r="P34">
        <f t="shared" si="1"/>
        <v>1.9975532973535979</v>
      </c>
    </row>
    <row r="35" spans="1:16" x14ac:dyDescent="0.2">
      <c r="A35" s="1" t="s">
        <v>43</v>
      </c>
      <c r="B35">
        <v>0.5</v>
      </c>
      <c r="C35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3.5</v>
      </c>
      <c r="J35" s="2">
        <v>95.910041260005983</v>
      </c>
      <c r="L35">
        <v>86.988562057584119</v>
      </c>
      <c r="M35">
        <v>89.428044947067974</v>
      </c>
      <c r="N35">
        <v>84.731004082812447</v>
      </c>
      <c r="O35" s="2">
        <f t="shared" si="0"/>
        <v>87.049203695821518</v>
      </c>
      <c r="P35">
        <f t="shared" si="1"/>
        <v>1.9180382819150861</v>
      </c>
    </row>
    <row r="36" spans="1:16" x14ac:dyDescent="0.2">
      <c r="A36" s="1" t="s">
        <v>44</v>
      </c>
      <c r="B36">
        <v>0</v>
      </c>
      <c r="C36">
        <v>0</v>
      </c>
      <c r="D36">
        <v>2.5</v>
      </c>
      <c r="E36">
        <v>0</v>
      </c>
      <c r="F36">
        <v>0</v>
      </c>
      <c r="G36">
        <v>0.5</v>
      </c>
      <c r="H36">
        <v>0</v>
      </c>
      <c r="I36">
        <v>3</v>
      </c>
      <c r="J36" s="2">
        <v>97.397977208411135</v>
      </c>
      <c r="L36">
        <v>94.611089199344022</v>
      </c>
      <c r="M36">
        <v>87.86718213679228</v>
      </c>
      <c r="N36">
        <v>94.421360696607294</v>
      </c>
      <c r="O36" s="2">
        <f t="shared" si="0"/>
        <v>92.299877344247861</v>
      </c>
      <c r="P36">
        <f t="shared" si="1"/>
        <v>3.1353457361549428</v>
      </c>
    </row>
    <row r="37" spans="1:16" x14ac:dyDescent="0.2">
      <c r="A37" s="1" t="s">
        <v>45</v>
      </c>
      <c r="B37">
        <v>0</v>
      </c>
      <c r="C37">
        <v>0</v>
      </c>
      <c r="D37">
        <v>0</v>
      </c>
      <c r="E37">
        <v>1.5</v>
      </c>
      <c r="F37">
        <v>0</v>
      </c>
      <c r="G37">
        <v>0.5</v>
      </c>
      <c r="H37">
        <v>0</v>
      </c>
      <c r="I37">
        <v>2</v>
      </c>
      <c r="J37" s="2">
        <v>101.5050115609034</v>
      </c>
      <c r="L37">
        <v>98.945467377991804</v>
      </c>
      <c r="M37">
        <v>96.907179246305603</v>
      </c>
      <c r="N37">
        <v>90.909419373487026</v>
      </c>
      <c r="O37" s="2">
        <f t="shared" si="0"/>
        <v>95.587355332594811</v>
      </c>
      <c r="P37">
        <f t="shared" si="1"/>
        <v>3.4108618905958319</v>
      </c>
    </row>
    <row r="38" spans="1:16" x14ac:dyDescent="0.2">
      <c r="A38" s="1" t="s">
        <v>46</v>
      </c>
      <c r="B38">
        <v>0</v>
      </c>
      <c r="C38">
        <v>0</v>
      </c>
      <c r="D38">
        <v>1</v>
      </c>
      <c r="E38">
        <v>0</v>
      </c>
      <c r="F38">
        <v>1</v>
      </c>
      <c r="G38">
        <v>0.5</v>
      </c>
      <c r="H38">
        <v>0</v>
      </c>
      <c r="I38">
        <v>2.5</v>
      </c>
      <c r="J38" s="2">
        <v>98.494011299839471</v>
      </c>
      <c r="L38">
        <v>91.995516160504849</v>
      </c>
      <c r="M38">
        <v>89.493080897496114</v>
      </c>
      <c r="N38">
        <v>84.796040033240601</v>
      </c>
      <c r="O38" s="2">
        <f t="shared" si="0"/>
        <v>88.761545697080521</v>
      </c>
      <c r="P38">
        <f t="shared" si="1"/>
        <v>2.9843449240826998</v>
      </c>
    </row>
    <row r="39" spans="1:16" x14ac:dyDescent="0.2">
      <c r="A39" s="1" t="s">
        <v>47</v>
      </c>
      <c r="B39">
        <v>2.5</v>
      </c>
      <c r="C39">
        <v>0</v>
      </c>
      <c r="D39">
        <v>0</v>
      </c>
      <c r="E39">
        <v>0</v>
      </c>
      <c r="F39">
        <v>0.5</v>
      </c>
      <c r="G39">
        <v>0</v>
      </c>
      <c r="H39">
        <v>0.5</v>
      </c>
      <c r="I39">
        <v>3.5</v>
      </c>
      <c r="J39" s="2">
        <v>90.123756421038109</v>
      </c>
      <c r="L39">
        <v>77.348307143005428</v>
      </c>
      <c r="M39">
        <v>74.014524695595625</v>
      </c>
      <c r="N39">
        <v>71.853885898038087</v>
      </c>
      <c r="O39" s="2">
        <f t="shared" si="0"/>
        <v>74.405572578879699</v>
      </c>
      <c r="P39">
        <f t="shared" si="1"/>
        <v>2.2600671139817718</v>
      </c>
    </row>
    <row r="40" spans="1:16" x14ac:dyDescent="0.2">
      <c r="A40" s="1" t="s">
        <v>48</v>
      </c>
      <c r="B40">
        <v>3</v>
      </c>
      <c r="C40">
        <v>0</v>
      </c>
      <c r="D40">
        <v>0.5</v>
      </c>
      <c r="E40">
        <v>0</v>
      </c>
      <c r="F40">
        <v>1</v>
      </c>
      <c r="G40">
        <v>0</v>
      </c>
      <c r="H40">
        <v>0.5</v>
      </c>
      <c r="I40">
        <v>5</v>
      </c>
      <c r="J40" s="2">
        <v>83.82411608862455</v>
      </c>
      <c r="L40">
        <v>64.34517260706204</v>
      </c>
      <c r="M40">
        <v>64.129060230516316</v>
      </c>
      <c r="N40">
        <v>66.455902012501355</v>
      </c>
      <c r="O40" s="2">
        <f t="shared" si="0"/>
        <v>64.976711616693237</v>
      </c>
      <c r="P40">
        <f t="shared" si="1"/>
        <v>1.0496600434147849</v>
      </c>
    </row>
    <row r="41" spans="1:16" x14ac:dyDescent="0.2">
      <c r="A41" s="1" t="s">
        <v>49</v>
      </c>
      <c r="B41">
        <v>2</v>
      </c>
      <c r="C41">
        <v>0</v>
      </c>
      <c r="D41">
        <v>2.5</v>
      </c>
      <c r="E41">
        <v>0.5</v>
      </c>
      <c r="F41">
        <v>0</v>
      </c>
      <c r="G41">
        <v>0</v>
      </c>
      <c r="H41">
        <v>0</v>
      </c>
      <c r="I41">
        <v>5</v>
      </c>
      <c r="J41" s="2">
        <v>86.152755930698873</v>
      </c>
      <c r="L41">
        <v>86.540178108068844</v>
      </c>
      <c r="M41">
        <v>79.152364779419727</v>
      </c>
      <c r="N41">
        <v>82.389709867398935</v>
      </c>
      <c r="O41" s="2">
        <f t="shared" si="0"/>
        <v>82.694084251629178</v>
      </c>
      <c r="P41">
        <f t="shared" si="1"/>
        <v>3.0237316094601865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Emerson</cp:lastModifiedBy>
  <dcterms:created xsi:type="dcterms:W3CDTF">2025-05-16T19:04:51Z</dcterms:created>
  <dcterms:modified xsi:type="dcterms:W3CDTF">2025-05-19T14:29:54Z</dcterms:modified>
</cp:coreProperties>
</file>