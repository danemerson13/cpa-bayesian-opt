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data/"/>
    </mc:Choice>
  </mc:AlternateContent>
  <xr:revisionPtr revIDLastSave="0" documentId="13_ncr:1_{CE5C97DB-14B9-BB4D-9625-F65386126310}" xr6:coauthVersionLast="47" xr6:coauthVersionMax="47" xr10:uidLastSave="{00000000-0000-0000-0000-000000000000}"/>
  <bookViews>
    <workbookView xWindow="0" yWindow="500" windowWidth="35840" windowHeight="19980" xr2:uid="{732449FA-1918-F249-870A-9891F3ECE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1" l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<sst xmlns="http://schemas.openxmlformats.org/spreadsheetml/2006/main" count="55" uniqueCount="55">
  <si>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</si>
  <si>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</si>
  <si>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</si>
  <si>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</si>
  <si>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</si>
  <si>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</si>
  <si>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</si>
  <si>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</si>
  <si>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</si>
  <si>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</si>
  <si>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</si>
  <si>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</si>
  <si>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</si>
  <si>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</si>
  <si>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</si>
  <si>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</si>
  <si>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</si>
  <si>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</si>
  <si>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</si>
  <si>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</si>
  <si>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</si>
  <si>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</si>
  <si>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</si>
  <si>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</si>
  <si>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</si>
  <si>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</si>
  <si>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</si>
  <si>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</si>
  <si>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</si>
  <si>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</si>
  <si>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</si>
  <si>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</si>
  <si>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</si>
  <si>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</si>
  <si>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</si>
  <si>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</si>
  <si>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</si>
  <si>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</si>
  <si>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</si>
  <si>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</si>
  <si>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</si>
  <si>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</si>
  <si>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</si>
  <si>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</si>
  <si>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</si>
  <si>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</si>
  <si>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</si>
  <si>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</si>
  <si>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</si>
  <si>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</si>
  <si>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n=2 (5.5)</t>
  </si>
  <si>
    <t>n=3 (5.5)</t>
  </si>
  <si>
    <t>n=1 (5.5)</t>
  </si>
  <si>
    <t>Experimental 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</si>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</sst>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2DB1-1741-0542-94BE-82322ED6B19C}">
  <dimension ref="A1:P42"/>
  <sheetViews>
    <sheetView tabSelected="1" zoomScale="134" workbookViewId="0">
      <selection activeCell="Q1" sqref="Q1"/>
    </sheetView>
  </sheetViews>
  <sheetFormatPr baseColWidth="10" defaultRowHeight="16" x14ac:dyDescent="0.2"/>
  <cols>
    <col min="1" max="1" width="13.6640625" bestFit="1" customWidth="1"/>
    <col min="9" max="9" width="14.5" customWidth="1"/>
    <col min="10" max="10" width="15.6640625" bestFit="1" customWidth="1"/>
    <col min="11" max="11" width="11.83203125" customWidth="1"/>
    <col min="15" max="15" width="19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t="s">
        <v>52</v>
      </c>
      <c r="M1" t="s">
        <v>50</v>
      </c>
      <c r="N1" t="s">
        <v>51</v>
      </c>
      <c r="O1" t="s">
        <v>53</v>
      </c>
      <c r="P1" t="s">
        <v>54</v>
      </c>
    </row>
    <row r="2" spans="1:16" x14ac:dyDescent="0.2">
      <c r="A2" s="1" t="s">
        <v>10</v>
      </c>
      <c r="B2">
        <v>0.5</v>
      </c>
      <c r="C2">
        <v>0</v>
      </c>
      <c r="D2">
        <v>1</v>
      </c>
      <c r="E2">
        <v>0</v>
      </c>
      <c r="F2">
        <v>1</v>
      </c>
      <c r="G2">
        <v>3</v>
      </c>
      <c r="H2">
        <v>0.5</v>
      </c>
      <c r="I2">
        <v>6</v>
      </c>
      <c r="J2" s="3">
        <v>12.79619785969072</v>
      </c>
      <c r="L2">
        <v>2.3114619020772795</v>
      </c>
      <c r="M2">
        <v>2.2737146994931212</v>
      </c>
      <c r="N2">
        <v>0.94209216766263271</v>
      </c>
      <c r="O2" s="3">
        <f t="shared" ref="O2:O11" si="0">AVERAGE(L2:N2)</f>
        <v>1.8424229230776781</v>
      </c>
      <c r="P2">
        <f t="shared" ref="P2:P11" si="1">_xlfn.STDEV.P(L2:N2)</f>
        <v>0.63681646476066245</v>
      </c>
    </row>
    <row r="3" spans="1:16" x14ac:dyDescent="0.2">
      <c r="A3" s="1" t="s">
        <v>11</v>
      </c>
      <c r="B3">
        <v>1.5</v>
      </c>
      <c r="C3">
        <v>0</v>
      </c>
      <c r="D3">
        <v>0</v>
      </c>
      <c r="E3">
        <v>0.5</v>
      </c>
      <c r="F3">
        <v>0</v>
      </c>
      <c r="G3">
        <v>2</v>
      </c>
      <c r="H3">
        <v>0.5</v>
      </c>
      <c r="I3">
        <v>4.5</v>
      </c>
      <c r="J3" s="3">
        <v>33.661421383732893</v>
      </c>
      <c r="L3">
        <v>51.645778221085031</v>
      </c>
      <c r="M3">
        <v>48.302472328540389</v>
      </c>
      <c r="N3">
        <v>61.346575080279855</v>
      </c>
      <c r="O3" s="3">
        <f t="shared" si="0"/>
        <v>53.764941876635085</v>
      </c>
      <c r="P3">
        <f t="shared" si="1"/>
        <v>5.5320457396722151</v>
      </c>
    </row>
    <row r="4" spans="1:16" x14ac:dyDescent="0.2">
      <c r="A4" s="1" t="s">
        <v>12</v>
      </c>
      <c r="B4">
        <v>1.5</v>
      </c>
      <c r="C4">
        <v>0</v>
      </c>
      <c r="D4">
        <v>0</v>
      </c>
      <c r="E4">
        <v>0.5</v>
      </c>
      <c r="F4">
        <v>0.5</v>
      </c>
      <c r="G4">
        <v>0.5</v>
      </c>
      <c r="H4">
        <v>2</v>
      </c>
      <c r="I4">
        <v>5</v>
      </c>
      <c r="J4" s="3">
        <v>33.765515797982012</v>
      </c>
      <c r="L4">
        <v>42.590745478988673</v>
      </c>
      <c r="M4">
        <v>37.800765490845144</v>
      </c>
      <c r="N4">
        <v>38.991557323012145</v>
      </c>
      <c r="O4" s="3">
        <f t="shared" si="0"/>
        <v>39.794356097615321</v>
      </c>
      <c r="P4">
        <f t="shared" si="1"/>
        <v>2.0362287815276128</v>
      </c>
    </row>
    <row r="5" spans="1:16" x14ac:dyDescent="0.2">
      <c r="A5" s="1" t="s">
        <v>13</v>
      </c>
      <c r="B5">
        <v>1.5</v>
      </c>
      <c r="C5">
        <v>1</v>
      </c>
      <c r="D5">
        <v>0</v>
      </c>
      <c r="E5">
        <v>0.5</v>
      </c>
      <c r="F5">
        <v>1</v>
      </c>
      <c r="G5">
        <v>0</v>
      </c>
      <c r="H5">
        <v>0.5</v>
      </c>
      <c r="I5">
        <v>4.5</v>
      </c>
      <c r="J5" s="3">
        <v>57.642185363957879</v>
      </c>
      <c r="L5">
        <v>51.645778221085031</v>
      </c>
      <c r="M5">
        <v>50.760318609703106</v>
      </c>
      <c r="N5">
        <v>54.839121281075222</v>
      </c>
      <c r="O5" s="3">
        <f t="shared" si="0"/>
        <v>52.415072703954451</v>
      </c>
      <c r="P5">
        <f t="shared" si="1"/>
        <v>1.7517645026330977</v>
      </c>
    </row>
    <row r="6" spans="1:16" x14ac:dyDescent="0.2">
      <c r="A6" s="1" t="s">
        <v>14</v>
      </c>
      <c r="B6">
        <v>1.5</v>
      </c>
      <c r="C6">
        <v>0.5</v>
      </c>
      <c r="D6">
        <v>0</v>
      </c>
      <c r="E6">
        <v>0</v>
      </c>
      <c r="F6">
        <v>0.5</v>
      </c>
      <c r="G6">
        <v>1.5</v>
      </c>
      <c r="H6">
        <v>2</v>
      </c>
      <c r="I6">
        <v>6</v>
      </c>
      <c r="J6" s="3">
        <v>19.00153244839094</v>
      </c>
      <c r="L6">
        <v>22.060800555097792</v>
      </c>
      <c r="M6">
        <v>25.73497465604634</v>
      </c>
      <c r="N6">
        <v>23.67990132488357</v>
      </c>
      <c r="O6" s="3">
        <f t="shared" si="0"/>
        <v>23.825225512009236</v>
      </c>
      <c r="P6">
        <f t="shared" si="1"/>
        <v>1.5034910864480415</v>
      </c>
    </row>
    <row r="7" spans="1:16" x14ac:dyDescent="0.2">
      <c r="A7" s="1" t="s">
        <v>15</v>
      </c>
      <c r="B7">
        <v>0</v>
      </c>
      <c r="C7">
        <v>1</v>
      </c>
      <c r="D7">
        <v>0.5</v>
      </c>
      <c r="E7">
        <v>2</v>
      </c>
      <c r="F7">
        <v>1</v>
      </c>
      <c r="G7">
        <v>0</v>
      </c>
      <c r="H7">
        <v>0</v>
      </c>
      <c r="I7">
        <v>4.5</v>
      </c>
      <c r="J7" s="3">
        <v>58.012612883739003</v>
      </c>
      <c r="L7">
        <v>48.054989375081313</v>
      </c>
      <c r="M7">
        <v>67.443881245474287</v>
      </c>
      <c r="N7">
        <v>63.566765200008504</v>
      </c>
      <c r="O7" s="3">
        <f t="shared" si="0"/>
        <v>59.688545273521378</v>
      </c>
      <c r="P7">
        <f t="shared" si="1"/>
        <v>8.3770609141510874</v>
      </c>
    </row>
    <row r="8" spans="1:16" x14ac:dyDescent="0.2">
      <c r="A8" s="1" t="s">
        <v>16</v>
      </c>
      <c r="B8">
        <v>0</v>
      </c>
      <c r="C8">
        <v>2.5</v>
      </c>
      <c r="D8">
        <v>1</v>
      </c>
      <c r="E8">
        <v>0</v>
      </c>
      <c r="F8">
        <v>1</v>
      </c>
      <c r="G8">
        <v>0</v>
      </c>
      <c r="H8">
        <v>1</v>
      </c>
      <c r="I8">
        <v>5.5</v>
      </c>
      <c r="J8" s="3">
        <v>20.083993853806451</v>
      </c>
      <c r="L8">
        <v>22.997528080142246</v>
      </c>
      <c r="M8">
        <v>33.406434260887551</v>
      </c>
      <c r="N8">
        <v>29.651447164153712</v>
      </c>
      <c r="O8" s="3">
        <f t="shared" si="0"/>
        <v>28.685136501727836</v>
      </c>
      <c r="P8">
        <f t="shared" si="1"/>
        <v>4.3040019510627427</v>
      </c>
    </row>
    <row r="9" spans="1:16" x14ac:dyDescent="0.2">
      <c r="A9" s="1" t="s">
        <v>17</v>
      </c>
      <c r="B9">
        <v>1.5</v>
      </c>
      <c r="C9">
        <v>0</v>
      </c>
      <c r="D9">
        <v>0</v>
      </c>
      <c r="E9">
        <v>0</v>
      </c>
      <c r="F9">
        <v>2.5</v>
      </c>
      <c r="G9">
        <v>0.5</v>
      </c>
      <c r="H9">
        <v>1.5</v>
      </c>
      <c r="I9">
        <v>6</v>
      </c>
      <c r="J9" s="3">
        <v>27.190263440571961</v>
      </c>
      <c r="L9">
        <v>27.290862569929313</v>
      </c>
      <c r="M9">
        <v>30.725147408710043</v>
      </c>
      <c r="N9">
        <v>25.440741764668353</v>
      </c>
      <c r="O9" s="3">
        <f t="shared" si="0"/>
        <v>27.818917247769235</v>
      </c>
      <c r="P9">
        <f t="shared" si="1"/>
        <v>2.1894241343005225</v>
      </c>
    </row>
    <row r="10" spans="1:16" x14ac:dyDescent="0.2">
      <c r="A10" s="1" t="s">
        <v>18</v>
      </c>
      <c r="B10">
        <v>0.5</v>
      </c>
      <c r="C10">
        <v>0.5</v>
      </c>
      <c r="D10">
        <v>0.5</v>
      </c>
      <c r="E10">
        <v>0</v>
      </c>
      <c r="F10">
        <v>0.5</v>
      </c>
      <c r="G10">
        <v>1</v>
      </c>
      <c r="H10">
        <v>1</v>
      </c>
      <c r="I10">
        <v>4</v>
      </c>
      <c r="J10" s="3">
        <v>43.788382950599598</v>
      </c>
      <c r="L10">
        <v>46.571837460427595</v>
      </c>
      <c r="M10">
        <v>41.152374056067025</v>
      </c>
      <c r="N10">
        <v>54.609446441103287</v>
      </c>
      <c r="O10" s="3">
        <f t="shared" si="0"/>
        <v>47.444552652532629</v>
      </c>
      <c r="P10">
        <f t="shared" si="1"/>
        <v>5.5283766845205333</v>
      </c>
    </row>
    <row r="11" spans="1:16" x14ac:dyDescent="0.2">
      <c r="A11" s="1" t="s">
        <v>19</v>
      </c>
      <c r="B11">
        <v>2</v>
      </c>
      <c r="C11">
        <v>0.5</v>
      </c>
      <c r="D11">
        <v>1.5</v>
      </c>
      <c r="E11">
        <v>0.5</v>
      </c>
      <c r="F11">
        <v>0</v>
      </c>
      <c r="G11">
        <v>0</v>
      </c>
      <c r="H11">
        <v>1</v>
      </c>
      <c r="I11">
        <v>5.5</v>
      </c>
      <c r="J11" s="3">
        <v>59.456283734981568</v>
      </c>
      <c r="L11">
        <v>61.559477861138809</v>
      </c>
      <c r="M11">
        <v>64.390193441605462</v>
      </c>
      <c r="N11">
        <v>65.40416391978394</v>
      </c>
      <c r="O11" s="3">
        <f t="shared" si="0"/>
        <v>63.784611740842735</v>
      </c>
      <c r="P11">
        <f t="shared" si="1"/>
        <v>1.6269500339815937</v>
      </c>
    </row>
    <row r="12" spans="1:16" x14ac:dyDescent="0.2">
      <c r="A12" s="1" t="s">
        <v>20</v>
      </c>
      <c r="B12">
        <v>2.5</v>
      </c>
      <c r="C12">
        <v>0.5</v>
      </c>
      <c r="D12">
        <v>1</v>
      </c>
      <c r="E12">
        <v>1</v>
      </c>
      <c r="F12">
        <v>1</v>
      </c>
      <c r="G12">
        <v>0</v>
      </c>
      <c r="H12">
        <v>0</v>
      </c>
      <c r="I12">
        <v>6</v>
      </c>
      <c r="J12" s="3">
        <v>51.028914232963473</v>
      </c>
      <c r="L12">
        <v>41.419836072683111</v>
      </c>
      <c r="M12">
        <v>42.120616530464467</v>
      </c>
      <c r="N12">
        <v>46.341152202113854</v>
      </c>
      <c r="O12" s="3">
        <f t="shared" ref="O12:O21" si="2">AVERAGE(L12:N12)</f>
        <v>43.293868268420475</v>
      </c>
      <c r="P12">
        <f t="shared" ref="P12:P21" si="3">_xlfn.STDEV.P(L12:N12)</f>
        <v>2.1736647766558357</v>
      </c>
    </row>
    <row r="13" spans="1:16" x14ac:dyDescent="0.2">
      <c r="A13" s="1" t="s">
        <v>21</v>
      </c>
      <c r="B13">
        <v>2</v>
      </c>
      <c r="C13">
        <v>0</v>
      </c>
      <c r="D13">
        <v>0.5</v>
      </c>
      <c r="E13">
        <v>0</v>
      </c>
      <c r="F13">
        <v>2.5</v>
      </c>
      <c r="G13">
        <v>0</v>
      </c>
      <c r="H13">
        <v>1</v>
      </c>
      <c r="I13">
        <v>6</v>
      </c>
      <c r="J13" s="3">
        <v>57.034621812015018</v>
      </c>
      <c r="L13">
        <v>46.493776833340561</v>
      </c>
      <c r="M13">
        <v>39.513809868625209</v>
      </c>
      <c r="N13">
        <v>30.417029964060141</v>
      </c>
      <c r="O13" s="3">
        <f t="shared" si="2"/>
        <v>38.808205555341971</v>
      </c>
      <c r="P13">
        <f t="shared" si="3"/>
        <v>6.5822415411936195</v>
      </c>
    </row>
    <row r="14" spans="1:16" x14ac:dyDescent="0.2">
      <c r="A14" s="1" t="s">
        <v>22</v>
      </c>
      <c r="B14">
        <v>2.5</v>
      </c>
      <c r="C14">
        <v>0.5</v>
      </c>
      <c r="D14">
        <v>1.5</v>
      </c>
      <c r="E14">
        <v>0.5</v>
      </c>
      <c r="F14">
        <v>0.5</v>
      </c>
      <c r="G14">
        <v>0</v>
      </c>
      <c r="H14">
        <v>0.5</v>
      </c>
      <c r="I14">
        <v>6</v>
      </c>
      <c r="J14" s="3">
        <v>65.848497051147007</v>
      </c>
      <c r="L14">
        <v>50.709050696040585</v>
      </c>
      <c r="M14">
        <v>49.047274231923033</v>
      </c>
      <c r="N14">
        <v>52.389256321374639</v>
      </c>
      <c r="O14" s="3">
        <f t="shared" si="2"/>
        <v>50.715193749779417</v>
      </c>
      <c r="P14">
        <f t="shared" si="3"/>
        <v>1.364365389570247</v>
      </c>
    </row>
    <row r="15" spans="1:16" x14ac:dyDescent="0.2">
      <c r="A15" s="1" t="s">
        <v>23</v>
      </c>
      <c r="B15">
        <v>0.5</v>
      </c>
      <c r="C15">
        <v>1</v>
      </c>
      <c r="D15">
        <v>0.5</v>
      </c>
      <c r="E15">
        <v>0</v>
      </c>
      <c r="F15">
        <v>0</v>
      </c>
      <c r="G15">
        <v>4</v>
      </c>
      <c r="H15">
        <v>0</v>
      </c>
      <c r="I15">
        <v>6</v>
      </c>
      <c r="J15" s="3">
        <v>31.376049362690029</v>
      </c>
      <c r="L15">
        <v>1.1405524957717159</v>
      </c>
      <c r="M15">
        <v>1.3054722250956867</v>
      </c>
      <c r="N15">
        <v>0.32962592773748961</v>
      </c>
      <c r="O15" s="3">
        <f t="shared" si="2"/>
        <v>0.9252168828682974</v>
      </c>
      <c r="P15">
        <f t="shared" si="3"/>
        <v>0.42649428964938008</v>
      </c>
    </row>
    <row r="16" spans="1:16" x14ac:dyDescent="0.2">
      <c r="A16" s="1" t="s">
        <v>24</v>
      </c>
      <c r="B16">
        <v>2.5</v>
      </c>
      <c r="C16">
        <v>0</v>
      </c>
      <c r="D16">
        <v>2</v>
      </c>
      <c r="E16">
        <v>0</v>
      </c>
      <c r="F16">
        <v>0.5</v>
      </c>
      <c r="G16">
        <v>0.5</v>
      </c>
      <c r="H16">
        <v>0.5</v>
      </c>
      <c r="I16">
        <v>6</v>
      </c>
      <c r="J16" s="3">
        <v>67.298054721066649</v>
      </c>
      <c r="L16">
        <v>62.418144759096229</v>
      </c>
      <c r="M16">
        <v>67.145960484121233</v>
      </c>
      <c r="N16">
        <v>70.686685239138285</v>
      </c>
      <c r="O16" s="3">
        <f t="shared" si="2"/>
        <v>66.750263494118585</v>
      </c>
      <c r="P16">
        <f t="shared" si="3"/>
        <v>3.3871937744438134</v>
      </c>
    </row>
    <row r="17" spans="1:16" x14ac:dyDescent="0.2">
      <c r="A17" s="1" t="s">
        <v>25</v>
      </c>
      <c r="B17">
        <v>2</v>
      </c>
      <c r="C17">
        <v>0</v>
      </c>
      <c r="D17">
        <v>1.5</v>
      </c>
      <c r="E17">
        <v>1</v>
      </c>
      <c r="F17">
        <v>0</v>
      </c>
      <c r="G17">
        <v>0</v>
      </c>
      <c r="H17">
        <v>1.5</v>
      </c>
      <c r="I17">
        <v>6</v>
      </c>
      <c r="J17" s="3">
        <v>46.219912974068087</v>
      </c>
      <c r="L17">
        <v>70.146146840712944</v>
      </c>
      <c r="M17">
        <v>66.997000103444705</v>
      </c>
      <c r="N17">
        <v>60.274759160410859</v>
      </c>
      <c r="O17" s="3">
        <f t="shared" si="2"/>
        <v>65.805968701522843</v>
      </c>
      <c r="P17">
        <f t="shared" si="3"/>
        <v>4.1170370036372779</v>
      </c>
    </row>
    <row r="18" spans="1:16" x14ac:dyDescent="0.2">
      <c r="A18" s="1" t="s">
        <v>26</v>
      </c>
      <c r="B18">
        <v>2</v>
      </c>
      <c r="C18">
        <v>0.5</v>
      </c>
      <c r="D18">
        <v>2.5</v>
      </c>
      <c r="E18">
        <v>0</v>
      </c>
      <c r="F18">
        <v>0</v>
      </c>
      <c r="G18">
        <v>0</v>
      </c>
      <c r="H18">
        <v>1</v>
      </c>
      <c r="I18">
        <v>6</v>
      </c>
      <c r="J18" s="3">
        <v>61.437900080651772</v>
      </c>
      <c r="L18">
        <v>64.291599809185129</v>
      </c>
      <c r="M18">
        <v>69.454846384607421</v>
      </c>
      <c r="N18">
        <v>66.552538119643586</v>
      </c>
      <c r="O18" s="3">
        <f t="shared" si="2"/>
        <v>66.766328104478717</v>
      </c>
      <c r="P18">
        <f t="shared" si="3"/>
        <v>2.1133004862638218</v>
      </c>
    </row>
    <row r="19" spans="1:16" x14ac:dyDescent="0.2">
      <c r="A19" s="1" t="s">
        <v>27</v>
      </c>
      <c r="B19">
        <v>1</v>
      </c>
      <c r="C19">
        <v>0</v>
      </c>
      <c r="D19">
        <v>3</v>
      </c>
      <c r="E19">
        <v>1</v>
      </c>
      <c r="F19">
        <v>0</v>
      </c>
      <c r="G19">
        <v>0</v>
      </c>
      <c r="H19">
        <v>1</v>
      </c>
      <c r="I19">
        <v>6</v>
      </c>
      <c r="J19" s="3">
        <v>45.373391480232819</v>
      </c>
      <c r="L19">
        <v>60.076325946485099</v>
      </c>
      <c r="M19">
        <v>63.719871728561081</v>
      </c>
      <c r="N19">
        <v>63.260532080045927</v>
      </c>
      <c r="O19" s="3">
        <f t="shared" si="2"/>
        <v>62.352243251697367</v>
      </c>
      <c r="P19">
        <f t="shared" si="3"/>
        <v>1.6202053189432539</v>
      </c>
    </row>
    <row r="20" spans="1:16" x14ac:dyDescent="0.2">
      <c r="A20" s="1" t="s">
        <v>28</v>
      </c>
      <c r="B20">
        <v>3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6</v>
      </c>
      <c r="J20" s="3">
        <v>70.861886176748939</v>
      </c>
      <c r="L20">
        <v>52.504445119042451</v>
      </c>
      <c r="M20">
        <v>54.856729078307637</v>
      </c>
      <c r="N20">
        <v>57.212427960785149</v>
      </c>
      <c r="O20" s="3">
        <f t="shared" si="2"/>
        <v>54.857867386045086</v>
      </c>
      <c r="P20">
        <f t="shared" si="3"/>
        <v>1.9220261152135423</v>
      </c>
    </row>
    <row r="21" spans="1:16" x14ac:dyDescent="0.2">
      <c r="A21" s="1" t="s">
        <v>29</v>
      </c>
      <c r="B21">
        <v>0.5</v>
      </c>
      <c r="C21">
        <v>0</v>
      </c>
      <c r="D21">
        <v>4.5</v>
      </c>
      <c r="E21">
        <v>0</v>
      </c>
      <c r="F21">
        <v>0</v>
      </c>
      <c r="G21">
        <v>1</v>
      </c>
      <c r="H21">
        <v>0</v>
      </c>
      <c r="I21">
        <v>6</v>
      </c>
      <c r="J21" s="3">
        <v>60.306267847861598</v>
      </c>
      <c r="L21">
        <v>61.63753848822585</v>
      </c>
      <c r="M21">
        <v>67.518361435812551</v>
      </c>
      <c r="N21">
        <v>68.543053399400293</v>
      </c>
      <c r="O21" s="3">
        <f t="shared" si="2"/>
        <v>65.8996511078129</v>
      </c>
      <c r="P21">
        <f t="shared" si="3"/>
        <v>3.0426634594921054</v>
      </c>
    </row>
    <row r="22" spans="1:16" x14ac:dyDescent="0.2">
      <c r="A22" s="1" t="s">
        <v>30</v>
      </c>
      <c r="B22">
        <v>0</v>
      </c>
      <c r="C22">
        <v>0</v>
      </c>
      <c r="D22">
        <v>0.5</v>
      </c>
      <c r="E22">
        <v>1</v>
      </c>
      <c r="F22">
        <v>0</v>
      </c>
      <c r="G22">
        <v>0.5</v>
      </c>
      <c r="H22">
        <v>0</v>
      </c>
      <c r="I22">
        <v>2</v>
      </c>
      <c r="J22" s="3">
        <v>100.2765944271603</v>
      </c>
      <c r="L22">
        <v>87.865909189470486</v>
      </c>
      <c r="M22">
        <v>87.10665149477606</v>
      </c>
      <c r="N22">
        <v>91.433979116602529</v>
      </c>
      <c r="O22" s="3">
        <f t="shared" ref="O22:O31" si="4">AVERAGE(L22:N22)</f>
        <v>88.802179933616358</v>
      </c>
      <c r="P22">
        <f t="shared" ref="P22:P31" si="5">_xlfn.STDEV.P(L22:N22)</f>
        <v>1.8866006937369624</v>
      </c>
    </row>
    <row r="23" spans="1:16" x14ac:dyDescent="0.2">
      <c r="A23" s="1" t="s">
        <v>31</v>
      </c>
      <c r="B23">
        <v>2.5</v>
      </c>
      <c r="C23">
        <v>0</v>
      </c>
      <c r="D23">
        <v>1.5</v>
      </c>
      <c r="E23">
        <v>0.5</v>
      </c>
      <c r="F23">
        <v>0</v>
      </c>
      <c r="G23">
        <v>0</v>
      </c>
      <c r="H23">
        <v>0</v>
      </c>
      <c r="I23">
        <v>4.5</v>
      </c>
      <c r="J23" s="3">
        <v>86.042068916689772</v>
      </c>
      <c r="L23">
        <v>91.300576781300137</v>
      </c>
      <c r="M23">
        <v>86.436329781731658</v>
      </c>
      <c r="N23">
        <v>90.285604916742869</v>
      </c>
      <c r="O23" s="3">
        <f t="shared" si="4"/>
        <v>89.340837159924888</v>
      </c>
      <c r="P23">
        <f t="shared" si="5"/>
        <v>2.0951792769665158</v>
      </c>
    </row>
    <row r="24" spans="1:16" x14ac:dyDescent="0.2">
      <c r="A24" s="1" t="s">
        <v>32</v>
      </c>
      <c r="B24">
        <v>2</v>
      </c>
      <c r="C24">
        <v>0</v>
      </c>
      <c r="D24">
        <v>0.5</v>
      </c>
      <c r="E24">
        <v>0.5</v>
      </c>
      <c r="F24">
        <v>0</v>
      </c>
      <c r="G24">
        <v>0</v>
      </c>
      <c r="H24">
        <v>0</v>
      </c>
      <c r="I24">
        <v>3</v>
      </c>
      <c r="J24" s="3">
        <v>96.240380758650701</v>
      </c>
      <c r="L24">
        <v>88.412333579079757</v>
      </c>
      <c r="M24">
        <v>88.372814730526542</v>
      </c>
      <c r="N24">
        <v>91.204304276630594</v>
      </c>
      <c r="O24" s="3">
        <f t="shared" si="4"/>
        <v>89.329817528745636</v>
      </c>
      <c r="P24">
        <f t="shared" si="5"/>
        <v>1.3255604753826467</v>
      </c>
    </row>
    <row r="25" spans="1:16" x14ac:dyDescent="0.2">
      <c r="A25" s="1" t="s">
        <v>33</v>
      </c>
      <c r="B25">
        <v>3.5</v>
      </c>
      <c r="C25">
        <v>0</v>
      </c>
      <c r="D25">
        <v>1</v>
      </c>
      <c r="E25">
        <v>0.5</v>
      </c>
      <c r="F25">
        <v>1</v>
      </c>
      <c r="G25">
        <v>0</v>
      </c>
      <c r="H25">
        <v>0</v>
      </c>
      <c r="I25">
        <v>6</v>
      </c>
      <c r="J25" s="3">
        <v>67.562972137433746</v>
      </c>
      <c r="L25">
        <v>13.161889067175505</v>
      </c>
      <c r="M25">
        <v>42.269576911140987</v>
      </c>
      <c r="N25">
        <v>55.604704080981648</v>
      </c>
      <c r="O25" s="3">
        <f t="shared" si="4"/>
        <v>37.012056686432715</v>
      </c>
      <c r="P25">
        <f t="shared" si="5"/>
        <v>17.721536347223672</v>
      </c>
    </row>
    <row r="26" spans="1:16" x14ac:dyDescent="0.2">
      <c r="A26" s="1" t="s">
        <v>34</v>
      </c>
      <c r="B26">
        <v>2</v>
      </c>
      <c r="C26">
        <v>0</v>
      </c>
      <c r="D26">
        <v>0.5</v>
      </c>
      <c r="E26">
        <v>0</v>
      </c>
      <c r="F26">
        <v>0</v>
      </c>
      <c r="G26">
        <v>0</v>
      </c>
      <c r="H26">
        <v>0</v>
      </c>
      <c r="I26">
        <v>2.5</v>
      </c>
      <c r="J26" s="3">
        <v>96.706646029889043</v>
      </c>
      <c r="L26">
        <v>89.114879222863081</v>
      </c>
      <c r="M26">
        <v>87.628012827143891</v>
      </c>
      <c r="N26">
        <v>87.835739957042293</v>
      </c>
      <c r="O26" s="3">
        <f t="shared" si="4"/>
        <v>88.192877335683079</v>
      </c>
      <c r="P26">
        <f t="shared" si="5"/>
        <v>0.65744619556612527</v>
      </c>
    </row>
    <row r="27" spans="1:16" x14ac:dyDescent="0.2">
      <c r="A27" s="1" t="s">
        <v>35</v>
      </c>
      <c r="B27">
        <v>2.5</v>
      </c>
      <c r="C27">
        <v>0</v>
      </c>
      <c r="D27">
        <v>2</v>
      </c>
      <c r="E27">
        <v>0.5</v>
      </c>
      <c r="F27">
        <v>0</v>
      </c>
      <c r="G27">
        <v>0</v>
      </c>
      <c r="H27">
        <v>0.5</v>
      </c>
      <c r="I27">
        <v>5.5</v>
      </c>
      <c r="J27" s="3">
        <v>71.927594115770916</v>
      </c>
      <c r="L27">
        <v>67.882388655188862</v>
      </c>
      <c r="M27">
        <v>68.71004448122477</v>
      </c>
      <c r="N27">
        <v>72.141292558960515</v>
      </c>
      <c r="O27" s="3">
        <f t="shared" si="4"/>
        <v>69.577908565124716</v>
      </c>
      <c r="P27">
        <f t="shared" si="5"/>
        <v>1.8438106675185815</v>
      </c>
    </row>
    <row r="28" spans="1:16" x14ac:dyDescent="0.2">
      <c r="A28" s="1" t="s">
        <v>36</v>
      </c>
      <c r="B28">
        <v>1.5</v>
      </c>
      <c r="C28">
        <v>0</v>
      </c>
      <c r="D28">
        <v>1</v>
      </c>
      <c r="E28">
        <v>0</v>
      </c>
      <c r="F28">
        <v>3.5</v>
      </c>
      <c r="G28">
        <v>0</v>
      </c>
      <c r="H28">
        <v>0</v>
      </c>
      <c r="I28">
        <v>6</v>
      </c>
      <c r="J28" s="3">
        <v>53.77382298928736</v>
      </c>
      <c r="L28">
        <v>38.609653497549765</v>
      </c>
      <c r="M28">
        <v>27.299058653149892</v>
      </c>
      <c r="N28">
        <v>17.555238925632139</v>
      </c>
      <c r="O28" s="3">
        <f t="shared" si="4"/>
        <v>27.821317025443932</v>
      </c>
      <c r="P28">
        <f t="shared" si="5"/>
        <v>8.6033582046825483</v>
      </c>
    </row>
    <row r="29" spans="1:16" x14ac:dyDescent="0.2">
      <c r="A29" s="1" t="s">
        <v>37</v>
      </c>
      <c r="B29">
        <v>0</v>
      </c>
      <c r="C29">
        <v>0</v>
      </c>
      <c r="D29">
        <v>1</v>
      </c>
      <c r="E29">
        <v>0</v>
      </c>
      <c r="F29">
        <v>0</v>
      </c>
      <c r="G29">
        <v>0.5</v>
      </c>
      <c r="H29">
        <v>0</v>
      </c>
      <c r="I29">
        <v>1.5</v>
      </c>
      <c r="J29" s="3">
        <v>97.407654372973127</v>
      </c>
      <c r="L29">
        <v>91.534758662561259</v>
      </c>
      <c r="M29">
        <v>82.190958932450613</v>
      </c>
      <c r="N29">
        <v>88.907555876911303</v>
      </c>
      <c r="O29" s="3">
        <f t="shared" si="4"/>
        <v>87.544424490641063</v>
      </c>
      <c r="P29">
        <f t="shared" si="5"/>
        <v>3.9344837637891135</v>
      </c>
    </row>
    <row r="30" spans="1:16" x14ac:dyDescent="0.2">
      <c r="A30" s="1" t="s">
        <v>38</v>
      </c>
      <c r="B30">
        <v>2</v>
      </c>
      <c r="C30">
        <v>0</v>
      </c>
      <c r="D30">
        <v>1</v>
      </c>
      <c r="E30">
        <v>0.5</v>
      </c>
      <c r="F30">
        <v>0</v>
      </c>
      <c r="G30">
        <v>0</v>
      </c>
      <c r="H30">
        <v>0</v>
      </c>
      <c r="I30">
        <v>3.5</v>
      </c>
      <c r="J30" s="3">
        <v>94.165995932095655</v>
      </c>
      <c r="L30">
        <v>94.344941237694613</v>
      </c>
      <c r="M30">
        <v>89.787938346953567</v>
      </c>
      <c r="N30">
        <v>91.893328796546385</v>
      </c>
      <c r="O30" s="3">
        <f t="shared" si="4"/>
        <v>92.008736127064864</v>
      </c>
      <c r="P30">
        <f t="shared" si="5"/>
        <v>1.8621775739724022</v>
      </c>
    </row>
    <row r="31" spans="1:16" x14ac:dyDescent="0.2">
      <c r="A31" s="1" t="s">
        <v>39</v>
      </c>
      <c r="B31">
        <v>0.5</v>
      </c>
      <c r="C31">
        <v>0</v>
      </c>
      <c r="D31">
        <v>5.5</v>
      </c>
      <c r="E31">
        <v>0</v>
      </c>
      <c r="F31">
        <v>0</v>
      </c>
      <c r="G31">
        <v>0</v>
      </c>
      <c r="H31">
        <v>0</v>
      </c>
      <c r="I31">
        <v>6</v>
      </c>
      <c r="J31" s="3">
        <v>67.130596071346702</v>
      </c>
      <c r="L31">
        <v>89.583242985385326</v>
      </c>
      <c r="M31">
        <v>90.979621392365772</v>
      </c>
      <c r="N31">
        <v>93.883844076303092</v>
      </c>
      <c r="O31" s="3">
        <f t="shared" si="4"/>
        <v>91.482236151351401</v>
      </c>
      <c r="P31">
        <f t="shared" si="5"/>
        <v>1.7913232786152633</v>
      </c>
    </row>
    <row r="32" spans="1:16" x14ac:dyDescent="0.2">
      <c r="A32" s="1" t="s">
        <v>40</v>
      </c>
      <c r="B32">
        <v>0.5</v>
      </c>
      <c r="C32">
        <v>0</v>
      </c>
      <c r="D32">
        <v>1.5</v>
      </c>
      <c r="E32">
        <v>0</v>
      </c>
      <c r="F32">
        <v>0</v>
      </c>
      <c r="G32">
        <v>0.5</v>
      </c>
      <c r="H32">
        <v>0</v>
      </c>
      <c r="I32">
        <v>2.5</v>
      </c>
      <c r="J32" s="3">
        <v>104.9200402713751</v>
      </c>
      <c r="L32">
        <v>98.560215100394643</v>
      </c>
      <c r="M32">
        <v>91.05410158270405</v>
      </c>
      <c r="N32">
        <v>90.285604916742869</v>
      </c>
      <c r="O32" s="3">
        <f t="shared" ref="O32:O41" si="6">AVERAGE(L32:N32)</f>
        <v>93.299973866613868</v>
      </c>
      <c r="P32">
        <f t="shared" ref="P32:P41" si="7">_xlfn.STDEV.P(L32:N32)</f>
        <v>3.7327603869499484</v>
      </c>
    </row>
    <row r="33" spans="1:16" x14ac:dyDescent="0.2">
      <c r="A33" s="1" t="s">
        <v>41</v>
      </c>
      <c r="B33">
        <v>0</v>
      </c>
      <c r="C33">
        <v>0</v>
      </c>
      <c r="D33">
        <v>1</v>
      </c>
      <c r="E33">
        <v>1</v>
      </c>
      <c r="F33">
        <v>0</v>
      </c>
      <c r="G33">
        <v>0.5</v>
      </c>
      <c r="H33">
        <v>0</v>
      </c>
      <c r="I33">
        <v>2.5</v>
      </c>
      <c r="J33" s="3">
        <v>104.7610798551738</v>
      </c>
      <c r="L33">
        <v>98.950518235829833</v>
      </c>
      <c r="M33">
        <v>99.991724423295736</v>
      </c>
      <c r="N33">
        <v>97.099291835910094</v>
      </c>
      <c r="O33" s="3">
        <f t="shared" si="6"/>
        <v>98.680511498345211</v>
      </c>
      <c r="P33">
        <f t="shared" si="7"/>
        <v>1.1961659017761466</v>
      </c>
    </row>
    <row r="34" spans="1:16" x14ac:dyDescent="0.2">
      <c r="A34" s="1" t="s">
        <v>42</v>
      </c>
      <c r="B34">
        <v>1.5</v>
      </c>
      <c r="C34">
        <v>0</v>
      </c>
      <c r="D34">
        <v>2</v>
      </c>
      <c r="E34">
        <v>0.5</v>
      </c>
      <c r="F34">
        <v>0</v>
      </c>
      <c r="G34">
        <v>0</v>
      </c>
      <c r="H34">
        <v>0.5</v>
      </c>
      <c r="I34">
        <v>4.5</v>
      </c>
      <c r="J34" s="3">
        <v>86.087446432499689</v>
      </c>
      <c r="L34">
        <v>70.458389349061093</v>
      </c>
      <c r="M34">
        <v>68.859004861901298</v>
      </c>
      <c r="N34">
        <v>70.074218999213144</v>
      </c>
      <c r="O34" s="3">
        <f t="shared" si="6"/>
        <v>69.797204403391845</v>
      </c>
      <c r="P34">
        <f t="shared" si="7"/>
        <v>0.68169421256424501</v>
      </c>
    </row>
    <row r="35" spans="1:16" x14ac:dyDescent="0.2">
      <c r="A35" s="1" t="s">
        <v>43</v>
      </c>
      <c r="B35">
        <v>1</v>
      </c>
      <c r="C35">
        <v>0</v>
      </c>
      <c r="D35">
        <v>1.5</v>
      </c>
      <c r="E35">
        <v>0.5</v>
      </c>
      <c r="F35">
        <v>0</v>
      </c>
      <c r="G35">
        <v>0</v>
      </c>
      <c r="H35">
        <v>0</v>
      </c>
      <c r="I35">
        <v>3</v>
      </c>
      <c r="J35" s="3">
        <v>102.1162634167185</v>
      </c>
      <c r="L35">
        <v>90.832213018777921</v>
      </c>
      <c r="M35">
        <v>84.797765594289842</v>
      </c>
      <c r="N35">
        <v>88.141973077004877</v>
      </c>
      <c r="O35" s="3">
        <f t="shared" si="6"/>
        <v>87.923983896690871</v>
      </c>
      <c r="P35">
        <f t="shared" si="7"/>
        <v>2.4683703654811309</v>
      </c>
    </row>
    <row r="36" spans="1:16" x14ac:dyDescent="0.2">
      <c r="A36" s="1" t="s">
        <v>44</v>
      </c>
      <c r="B36">
        <v>3.5</v>
      </c>
      <c r="C36">
        <v>1</v>
      </c>
      <c r="D36">
        <v>0</v>
      </c>
      <c r="E36">
        <v>1</v>
      </c>
      <c r="F36">
        <v>0.5</v>
      </c>
      <c r="G36">
        <v>0</v>
      </c>
      <c r="H36">
        <v>0</v>
      </c>
      <c r="I36">
        <v>6</v>
      </c>
      <c r="J36" s="3">
        <v>64.635850333943594</v>
      </c>
      <c r="L36">
        <v>22.997528080142246</v>
      </c>
      <c r="M36">
        <v>47.036309092789899</v>
      </c>
      <c r="N36">
        <v>46.953618442039001</v>
      </c>
      <c r="O36" s="3">
        <f t="shared" si="6"/>
        <v>38.995818538323718</v>
      </c>
      <c r="P36">
        <f t="shared" si="7"/>
        <v>11.31255004038097</v>
      </c>
    </row>
    <row r="37" spans="1:16" x14ac:dyDescent="0.2">
      <c r="A37" s="1" t="s">
        <v>45</v>
      </c>
      <c r="B37">
        <v>1.5</v>
      </c>
      <c r="C37">
        <v>0</v>
      </c>
      <c r="D37">
        <v>4</v>
      </c>
      <c r="E37">
        <v>0</v>
      </c>
      <c r="F37">
        <v>0</v>
      </c>
      <c r="G37">
        <v>0</v>
      </c>
      <c r="H37">
        <v>0.5</v>
      </c>
      <c r="I37">
        <v>6</v>
      </c>
      <c r="J37" s="3">
        <v>65.961096970498332</v>
      </c>
      <c r="L37">
        <v>79.435361464070425</v>
      </c>
      <c r="M37">
        <v>78.317989034860872</v>
      </c>
      <c r="N37">
        <v>74.973948918614298</v>
      </c>
      <c r="O37" s="3">
        <f t="shared" si="6"/>
        <v>77.575766472515198</v>
      </c>
      <c r="P37">
        <f t="shared" si="7"/>
        <v>1.8954720123194582</v>
      </c>
    </row>
    <row r="38" spans="1:16" x14ac:dyDescent="0.2">
      <c r="A38" s="1" t="s">
        <v>46</v>
      </c>
      <c r="B38">
        <v>1</v>
      </c>
      <c r="C38">
        <v>0</v>
      </c>
      <c r="D38">
        <v>1.5</v>
      </c>
      <c r="E38">
        <v>0.5</v>
      </c>
      <c r="F38">
        <v>0</v>
      </c>
      <c r="G38">
        <v>0.5</v>
      </c>
      <c r="H38">
        <v>0</v>
      </c>
      <c r="I38">
        <v>3.5</v>
      </c>
      <c r="J38" s="3">
        <v>97.771607185773718</v>
      </c>
      <c r="L38">
        <v>90.832213018777921</v>
      </c>
      <c r="M38">
        <v>94.554670528602458</v>
      </c>
      <c r="N38">
        <v>88.984114156901953</v>
      </c>
      <c r="O38" s="3">
        <f t="shared" si="6"/>
        <v>91.456999234760772</v>
      </c>
      <c r="P38">
        <f t="shared" si="7"/>
        <v>2.3166848346052462</v>
      </c>
    </row>
    <row r="39" spans="1:16" x14ac:dyDescent="0.2">
      <c r="A39" s="1" t="s">
        <v>47</v>
      </c>
      <c r="B39">
        <v>2.5</v>
      </c>
      <c r="C39">
        <v>0</v>
      </c>
      <c r="D39">
        <v>2</v>
      </c>
      <c r="E39">
        <v>1</v>
      </c>
      <c r="F39">
        <v>0</v>
      </c>
      <c r="G39">
        <v>0.5</v>
      </c>
      <c r="H39">
        <v>0</v>
      </c>
      <c r="I39">
        <v>6</v>
      </c>
      <c r="J39" s="3">
        <v>64.222185836574738</v>
      </c>
      <c r="L39">
        <v>64.838024198794386</v>
      </c>
      <c r="M39">
        <v>51.952001655115339</v>
      </c>
      <c r="N39">
        <v>61.652808200242433</v>
      </c>
      <c r="O39" s="3">
        <f t="shared" si="6"/>
        <v>59.480944684717393</v>
      </c>
      <c r="P39">
        <f t="shared" si="7"/>
        <v>5.4802760025752209</v>
      </c>
    </row>
    <row r="40" spans="1:16" x14ac:dyDescent="0.2">
      <c r="A40" s="1" t="s">
        <v>48</v>
      </c>
      <c r="B40">
        <v>1.5</v>
      </c>
      <c r="C40">
        <v>0</v>
      </c>
      <c r="D40">
        <v>2.5</v>
      </c>
      <c r="E40">
        <v>0</v>
      </c>
      <c r="F40">
        <v>0</v>
      </c>
      <c r="G40">
        <v>0.5</v>
      </c>
      <c r="H40">
        <v>0.5</v>
      </c>
      <c r="I40">
        <v>5</v>
      </c>
      <c r="J40" s="3">
        <v>79.642752156060212</v>
      </c>
      <c r="L40">
        <v>69.053298061494417</v>
      </c>
      <c r="M40">
        <v>71.987172856108401</v>
      </c>
      <c r="N40">
        <v>72.753758798885656</v>
      </c>
      <c r="O40" s="3">
        <f t="shared" si="6"/>
        <v>71.264743238829496</v>
      </c>
      <c r="P40">
        <f t="shared" si="7"/>
        <v>1.5947373516632435</v>
      </c>
    </row>
    <row r="41" spans="1:16" x14ac:dyDescent="0.2">
      <c r="A41" s="1" t="s">
        <v>49</v>
      </c>
      <c r="B41">
        <v>2.5</v>
      </c>
      <c r="C41">
        <v>0</v>
      </c>
      <c r="D41">
        <v>1.5</v>
      </c>
      <c r="E41">
        <v>0</v>
      </c>
      <c r="F41">
        <v>1</v>
      </c>
      <c r="G41">
        <v>0</v>
      </c>
      <c r="H41">
        <v>1</v>
      </c>
      <c r="I41">
        <v>6</v>
      </c>
      <c r="J41" s="3">
        <v>60.03874630109118</v>
      </c>
      <c r="L41">
        <v>64.213539182098089</v>
      </c>
      <c r="M41">
        <v>61.187545257060094</v>
      </c>
      <c r="N41">
        <v>61.346575080279855</v>
      </c>
      <c r="O41" s="3">
        <f t="shared" si="6"/>
        <v>62.249219839812675</v>
      </c>
      <c r="P41">
        <f t="shared" si="7"/>
        <v>1.3905000251769779</v>
      </c>
    </row>
    <row r="42" spans="1:16" x14ac:dyDescent="0.2">
      <c r="O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Emerson</cp:lastModifiedBy>
  <dcterms:created xsi:type="dcterms:W3CDTF">2025-05-07T18:50:25Z</dcterms:created>
  <dcterms:modified xsi:type="dcterms:W3CDTF">2025-05-07T21:28:26Z</dcterms:modified>
</cp:coreProperties>
</file>