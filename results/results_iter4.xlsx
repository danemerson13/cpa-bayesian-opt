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emerson/Downloads/"/>
    </mc:Choice>
  </mc:AlternateContent>
  <xr:revisionPtr revIDLastSave="0" documentId="13_ncr:1_{48405FAA-0962-4C4F-806C-AA03C8F5A58C}" xr6:coauthVersionLast="47" xr6:coauthVersionMax="47" xr10:uidLastSave="{00000000-0000-0000-0000-000000000000}"/>
  <bookViews>
    <workbookView xWindow="20" yWindow="500" windowWidth="31700" windowHeight="18500" xr2:uid="{10FBF77D-D614-5348-BBEB-DCE9FDE330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</calcChain>
</file>

<file path=xl/sharedStrings.xml><?xml version="1.0" encoding="utf-8"?>
<sst xmlns="http://schemas.openxmlformats.org/spreadsheetml/2006/main" count="55" uniqueCount="55">
  <si>
    <t>Index</t>
  </si>
  <si>
    <t>Glycerol</t>
  </si>
  <si>
    <t>DMSO</t>
  </si>
  <si>
    <t>EG</t>
  </si>
  <si>
    <t>12PD</t>
  </si>
  <si>
    <t>13PD</t>
  </si>
  <si>
    <t>3M12PD</t>
  </si>
  <si>
    <t>Urea</t>
  </si>
  <si>
    <t>Total Molarity</t>
  </si>
  <si>
    <t>Predicted Viability</t>
  </si>
  <si>
    <t>Random 1</t>
  </si>
  <si>
    <t>Random 2</t>
  </si>
  <si>
    <t>Random 3</t>
  </si>
  <si>
    <t>Random 4</t>
  </si>
  <si>
    <t>Random 5</t>
  </si>
  <si>
    <t>Random 6</t>
  </si>
  <si>
    <t>Random 7</t>
  </si>
  <si>
    <t>Random 8</t>
  </si>
  <si>
    <t>Random 9</t>
  </si>
  <si>
    <t>Random 10</t>
  </si>
  <si>
    <t>LogNParEGO 1</t>
  </si>
  <si>
    <t>LogNParEGO 2</t>
  </si>
  <si>
    <t>LogNParEGO 3</t>
  </si>
  <si>
    <t>LogNParEGO 4</t>
  </si>
  <si>
    <t>LogNParEGO 5</t>
  </si>
  <si>
    <t>LogNParEGO 6</t>
  </si>
  <si>
    <t>LogNParEGO 7</t>
  </si>
  <si>
    <t>LogNParEGO 8</t>
  </si>
  <si>
    <t>LogNParEGO 9</t>
  </si>
  <si>
    <t>LogNParEGO 10</t>
  </si>
  <si>
    <t>LogNEHVI 1</t>
  </si>
  <si>
    <t>LogNEHVI 2</t>
  </si>
  <si>
    <t>LogNEHVI 3</t>
  </si>
  <si>
    <t>LogNEHVI 4</t>
  </si>
  <si>
    <t>LogNEHVI 5</t>
  </si>
  <si>
    <t>LogNEHVI 6</t>
  </si>
  <si>
    <t>LogNEHVI 7</t>
  </si>
  <si>
    <t>LogNEHVI 8</t>
  </si>
  <si>
    <t>LogNEHVI 9</t>
  </si>
  <si>
    <t>LogNEHVI 10</t>
  </si>
  <si>
    <t>VarLogNEHVI 1</t>
  </si>
  <si>
    <t>VarLogNEHVI 2</t>
  </si>
  <si>
    <t>VarLogNEHVI 3</t>
  </si>
  <si>
    <t>VarLogNEHVI 4</t>
  </si>
  <si>
    <t>VarLogNEHVI 5</t>
  </si>
  <si>
    <t>VarLogNEHVI 6</t>
  </si>
  <si>
    <t>VarLogNEHVI 7</t>
  </si>
  <si>
    <t>VarLogNEHVI 8</t>
  </si>
  <si>
    <t>VarLogNEHVI 9</t>
  </si>
  <si>
    <t>VarLogNEHVI 10</t>
  </si>
  <si>
    <t>SD</t>
  </si>
  <si>
    <t>n1</t>
  </si>
  <si>
    <t>n2</t>
  </si>
  <si>
    <t>n3</t>
  </si>
  <si>
    <t>Experimental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</si>
</sst>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C747-EB8B-4C45-B2D7-0E3F1A248B5A}">
  <dimension ref="A1:P41"/>
  <sheetViews>
    <sheetView tabSelected="1" zoomScaleNormal="100" workbookViewId="0">
      <selection activeCell="K1" sqref="K1:K1048576"/>
    </sheetView>
  </sheetViews>
  <sheetFormatPr baseColWidth="10" defaultRowHeight="16" x14ac:dyDescent="0.2"/>
  <cols>
    <col min="1" max="1" width="13.33203125" customWidth="1"/>
    <col min="9" max="9" width="12" bestFit="1" customWidth="1"/>
    <col min="10" max="10" width="15.6640625" bestFit="1" customWidth="1"/>
    <col min="12" max="12" width="15.1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51</v>
      </c>
      <c r="M1" s="2" t="s">
        <v>52</v>
      </c>
      <c r="N1" s="2" t="s">
        <v>53</v>
      </c>
      <c r="O1" t="s">
        <v>54</v>
      </c>
      <c r="P1" t="s">
        <v>50</v>
      </c>
    </row>
    <row r="2" spans="1:16" x14ac:dyDescent="0.2">
      <c r="A2" s="1" t="s">
        <v>10</v>
      </c>
      <c r="B2">
        <v>0.5</v>
      </c>
      <c r="C2">
        <v>1</v>
      </c>
      <c r="D2">
        <v>2</v>
      </c>
      <c r="E2">
        <v>1.5</v>
      </c>
      <c r="F2">
        <v>0.5</v>
      </c>
      <c r="G2">
        <v>0.5</v>
      </c>
      <c r="H2">
        <v>0</v>
      </c>
      <c r="I2">
        <v>6</v>
      </c>
      <c r="J2" s="3">
        <v>36.650846494153512</v>
      </c>
      <c r="L2">
        <v>18.07243093760113</v>
      </c>
      <c r="M2">
        <v>23.939536846285588</v>
      </c>
      <c r="N2">
        <v>19.977277030865373</v>
      </c>
      <c r="O2" s="3">
        <f>AVERAGE(L2:N2)</f>
        <v>20.663081604917362</v>
      </c>
      <c r="P2">
        <f>_xlfn.STDEV.P(L2:N2)</f>
        <v>2.4438329008987738</v>
      </c>
    </row>
    <row r="3" spans="1:16" x14ac:dyDescent="0.2">
      <c r="A3" s="1" t="s">
        <v>11</v>
      </c>
      <c r="B3">
        <v>2</v>
      </c>
      <c r="C3">
        <v>0</v>
      </c>
      <c r="D3">
        <v>0</v>
      </c>
      <c r="E3">
        <v>0</v>
      </c>
      <c r="F3">
        <v>1</v>
      </c>
      <c r="G3">
        <v>1</v>
      </c>
      <c r="H3">
        <v>1.5</v>
      </c>
      <c r="I3">
        <v>5.5</v>
      </c>
      <c r="J3" s="3">
        <v>42.653731758462229</v>
      </c>
      <c r="L3">
        <v>42.749551351828423</v>
      </c>
      <c r="M3">
        <v>58.430340787808085</v>
      </c>
      <c r="N3">
        <v>51.334974436659728</v>
      </c>
      <c r="O3" s="3">
        <f t="shared" ref="O3:O41" si="0">AVERAGE(L3:N3)</f>
        <v>50.838288858765416</v>
      </c>
      <c r="P3">
        <f t="shared" ref="P3:P41" si="1">_xlfn.STDEV.P(L3:N3)</f>
        <v>6.4112823343617551</v>
      </c>
    </row>
    <row r="4" spans="1:16" x14ac:dyDescent="0.2">
      <c r="A4" s="1" t="s">
        <v>12</v>
      </c>
      <c r="B4">
        <v>1.5</v>
      </c>
      <c r="C4">
        <v>0</v>
      </c>
      <c r="D4">
        <v>0</v>
      </c>
      <c r="E4">
        <v>2</v>
      </c>
      <c r="F4">
        <v>2.5</v>
      </c>
      <c r="G4">
        <v>0</v>
      </c>
      <c r="H4">
        <v>0</v>
      </c>
      <c r="I4">
        <v>6</v>
      </c>
      <c r="J4" s="3">
        <v>35.854023394008813</v>
      </c>
      <c r="L4">
        <v>21.673384131093524</v>
      </c>
      <c r="M4">
        <v>26.798878105686409</v>
      </c>
      <c r="N4">
        <v>10.007574323044881</v>
      </c>
      <c r="O4" s="3">
        <f t="shared" si="0"/>
        <v>19.493278853274941</v>
      </c>
      <c r="P4">
        <f t="shared" si="1"/>
        <v>7.0262182785629035</v>
      </c>
    </row>
    <row r="5" spans="1:16" x14ac:dyDescent="0.2">
      <c r="A5" s="1" t="s">
        <v>13</v>
      </c>
      <c r="B5">
        <v>0.5</v>
      </c>
      <c r="C5">
        <v>0</v>
      </c>
      <c r="D5">
        <v>2</v>
      </c>
      <c r="E5">
        <v>0.5</v>
      </c>
      <c r="F5">
        <v>1</v>
      </c>
      <c r="G5">
        <v>1</v>
      </c>
      <c r="H5">
        <v>0</v>
      </c>
      <c r="I5">
        <v>5</v>
      </c>
      <c r="J5" s="3">
        <v>46.089259463528833</v>
      </c>
      <c r="L5">
        <v>43.702744844223467</v>
      </c>
      <c r="M5">
        <v>61.289682047208913</v>
      </c>
      <c r="N5">
        <v>66.332134065517891</v>
      </c>
      <c r="O5" s="3">
        <f t="shared" si="0"/>
        <v>57.108186985650093</v>
      </c>
      <c r="P5">
        <f t="shared" si="1"/>
        <v>9.7000340152183409</v>
      </c>
    </row>
    <row r="6" spans="1:16" x14ac:dyDescent="0.2">
      <c r="A6" s="1" t="s">
        <v>14</v>
      </c>
      <c r="B6">
        <v>0</v>
      </c>
      <c r="C6">
        <v>0</v>
      </c>
      <c r="D6">
        <v>0.5</v>
      </c>
      <c r="E6">
        <v>1.5</v>
      </c>
      <c r="F6">
        <v>0.5</v>
      </c>
      <c r="G6">
        <v>2</v>
      </c>
      <c r="H6">
        <v>1</v>
      </c>
      <c r="I6">
        <v>5.5</v>
      </c>
      <c r="J6" s="3">
        <v>12.625603332428421</v>
      </c>
      <c r="L6">
        <v>0.91494807449030569</v>
      </c>
      <c r="M6">
        <v>1.7796420859291617</v>
      </c>
      <c r="N6">
        <v>3.2758947169096775</v>
      </c>
      <c r="O6" s="3">
        <f t="shared" si="0"/>
        <v>1.9901616257763817</v>
      </c>
      <c r="P6">
        <f t="shared" si="1"/>
        <v>0.97527982978594063</v>
      </c>
    </row>
    <row r="7" spans="1:16" x14ac:dyDescent="0.2">
      <c r="A7" s="1" t="s">
        <v>15</v>
      </c>
      <c r="B7">
        <v>0</v>
      </c>
      <c r="C7">
        <v>0.5</v>
      </c>
      <c r="D7">
        <v>0.5</v>
      </c>
      <c r="E7">
        <v>2.5</v>
      </c>
      <c r="F7">
        <v>0</v>
      </c>
      <c r="G7">
        <v>0</v>
      </c>
      <c r="H7">
        <v>0.5</v>
      </c>
      <c r="I7">
        <v>4</v>
      </c>
      <c r="J7" s="3">
        <v>61.373214684960011</v>
      </c>
      <c r="L7">
        <v>26.333441205024858</v>
      </c>
      <c r="M7">
        <v>51.996822954156215</v>
      </c>
      <c r="N7">
        <v>63.946222306381379</v>
      </c>
      <c r="O7" s="3">
        <f t="shared" si="0"/>
        <v>47.425495488520816</v>
      </c>
      <c r="P7">
        <f t="shared" si="1"/>
        <v>15.691889659803994</v>
      </c>
    </row>
    <row r="8" spans="1:16" x14ac:dyDescent="0.2">
      <c r="A8" s="1" t="s">
        <v>16</v>
      </c>
      <c r="B8">
        <v>1</v>
      </c>
      <c r="C8">
        <v>1.5</v>
      </c>
      <c r="D8">
        <v>1.5</v>
      </c>
      <c r="E8">
        <v>0.5</v>
      </c>
      <c r="F8">
        <v>0.5</v>
      </c>
      <c r="G8">
        <v>0</v>
      </c>
      <c r="H8">
        <v>0.5</v>
      </c>
      <c r="I8">
        <v>5.5</v>
      </c>
      <c r="J8" s="3">
        <v>42.608412535600088</v>
      </c>
      <c r="L8">
        <v>38.724956606160447</v>
      </c>
      <c r="M8">
        <v>46.814266921492212</v>
      </c>
      <c r="N8">
        <v>47.670895663700058</v>
      </c>
      <c r="O8" s="3">
        <f t="shared" si="0"/>
        <v>44.403373063784244</v>
      </c>
      <c r="P8">
        <f t="shared" si="1"/>
        <v>4.0304477253487772</v>
      </c>
    </row>
    <row r="9" spans="1:16" x14ac:dyDescent="0.2">
      <c r="A9" s="1" t="s">
        <v>17</v>
      </c>
      <c r="B9">
        <v>1.5</v>
      </c>
      <c r="C9">
        <v>0.5</v>
      </c>
      <c r="D9">
        <v>2.5</v>
      </c>
      <c r="E9">
        <v>0.5</v>
      </c>
      <c r="F9">
        <v>0</v>
      </c>
      <c r="G9">
        <v>0.5</v>
      </c>
      <c r="H9">
        <v>0.5</v>
      </c>
      <c r="I9">
        <v>6</v>
      </c>
      <c r="J9" s="3">
        <v>51.574645992598491</v>
      </c>
      <c r="L9">
        <v>48.468712306198697</v>
      </c>
      <c r="M9">
        <v>51.907468539799943</v>
      </c>
      <c r="N9">
        <v>53.550463927286508</v>
      </c>
      <c r="O9" s="3">
        <f t="shared" si="0"/>
        <v>51.308881591095052</v>
      </c>
      <c r="P9">
        <f t="shared" si="1"/>
        <v>2.117353636968724</v>
      </c>
    </row>
    <row r="10" spans="1:16" x14ac:dyDescent="0.2">
      <c r="A10" s="1" t="s">
        <v>18</v>
      </c>
      <c r="B10">
        <v>0.5</v>
      </c>
      <c r="C10">
        <v>0.5</v>
      </c>
      <c r="D10">
        <v>3.5</v>
      </c>
      <c r="E10">
        <v>0</v>
      </c>
      <c r="F10">
        <v>0</v>
      </c>
      <c r="G10">
        <v>0</v>
      </c>
      <c r="H10">
        <v>1.5</v>
      </c>
      <c r="I10">
        <v>6</v>
      </c>
      <c r="J10" s="3">
        <v>41.73844654211301</v>
      </c>
      <c r="L10">
        <v>47.409608425759757</v>
      </c>
      <c r="M10">
        <v>50.924569981880907</v>
      </c>
      <c r="N10">
        <v>60.026510130657073</v>
      </c>
      <c r="O10" s="3">
        <f t="shared" si="0"/>
        <v>52.786896179432574</v>
      </c>
      <c r="P10">
        <f t="shared" si="1"/>
        <v>5.3164992433822524</v>
      </c>
    </row>
    <row r="11" spans="1:16" x14ac:dyDescent="0.2">
      <c r="A11" s="1" t="s">
        <v>19</v>
      </c>
      <c r="B11">
        <v>0.5</v>
      </c>
      <c r="C11">
        <v>0</v>
      </c>
      <c r="D11">
        <v>0.5</v>
      </c>
      <c r="E11">
        <v>2.5</v>
      </c>
      <c r="F11">
        <v>1</v>
      </c>
      <c r="G11">
        <v>0.5</v>
      </c>
      <c r="H11">
        <v>0.5</v>
      </c>
      <c r="I11">
        <v>5.5</v>
      </c>
      <c r="J11" s="3">
        <v>30.789948064348021</v>
      </c>
      <c r="L11">
        <v>3.456797387543761</v>
      </c>
      <c r="M11">
        <v>7.587679019087096</v>
      </c>
      <c r="N11">
        <v>20.658966104904376</v>
      </c>
      <c r="O11" s="3">
        <f t="shared" si="0"/>
        <v>10.567814170511744</v>
      </c>
      <c r="P11">
        <f t="shared" si="1"/>
        <v>7.3321009397353807</v>
      </c>
    </row>
    <row r="12" spans="1:16" x14ac:dyDescent="0.2">
      <c r="A12" s="1" t="s">
        <v>20</v>
      </c>
      <c r="B12">
        <v>2</v>
      </c>
      <c r="C12">
        <v>1</v>
      </c>
      <c r="D12">
        <v>1.5</v>
      </c>
      <c r="E12">
        <v>0</v>
      </c>
      <c r="F12">
        <v>0</v>
      </c>
      <c r="G12">
        <v>0</v>
      </c>
      <c r="H12">
        <v>1.5</v>
      </c>
      <c r="I12">
        <v>6</v>
      </c>
      <c r="J12" s="3">
        <v>49.89775657080466</v>
      </c>
      <c r="L12">
        <v>48.892353858374271</v>
      </c>
      <c r="M12">
        <v>55.928417185832359</v>
      </c>
      <c r="N12">
        <v>59.77087672789245</v>
      </c>
      <c r="O12" s="3">
        <f t="shared" si="0"/>
        <v>54.863882590699689</v>
      </c>
      <c r="P12">
        <f t="shared" si="1"/>
        <v>4.5044785405810819</v>
      </c>
    </row>
    <row r="13" spans="1:16" x14ac:dyDescent="0.2">
      <c r="A13" s="1" t="s">
        <v>21</v>
      </c>
      <c r="B13">
        <v>2</v>
      </c>
      <c r="C13">
        <v>0</v>
      </c>
      <c r="D13">
        <v>3</v>
      </c>
      <c r="E13">
        <v>0</v>
      </c>
      <c r="F13">
        <v>0</v>
      </c>
      <c r="G13">
        <v>0.5</v>
      </c>
      <c r="H13">
        <v>0.5</v>
      </c>
      <c r="I13">
        <v>6</v>
      </c>
      <c r="J13" s="3">
        <v>64.5275773355811</v>
      </c>
      <c r="L13">
        <v>51.116472007296053</v>
      </c>
      <c r="M13">
        <v>57.6261510586016</v>
      </c>
      <c r="N13">
        <v>61.730732815754592</v>
      </c>
      <c r="O13" s="3">
        <f t="shared" si="0"/>
        <v>56.824451960550753</v>
      </c>
      <c r="P13">
        <f t="shared" si="1"/>
        <v>4.3701772817096254</v>
      </c>
    </row>
    <row r="14" spans="1:16" x14ac:dyDescent="0.2">
      <c r="A14" s="1" t="s">
        <v>22</v>
      </c>
      <c r="B14">
        <v>2</v>
      </c>
      <c r="C14">
        <v>0</v>
      </c>
      <c r="D14">
        <v>2.5</v>
      </c>
      <c r="E14">
        <v>1</v>
      </c>
      <c r="F14">
        <v>0</v>
      </c>
      <c r="G14">
        <v>0</v>
      </c>
      <c r="H14">
        <v>0.5</v>
      </c>
      <c r="I14">
        <v>6</v>
      </c>
      <c r="J14" s="3">
        <v>64.751313568582873</v>
      </c>
      <c r="L14">
        <v>48.468712306198697</v>
      </c>
      <c r="M14">
        <v>56.46454367197002</v>
      </c>
      <c r="N14">
        <v>51.505396705169481</v>
      </c>
      <c r="O14" s="3">
        <f t="shared" si="0"/>
        <v>52.146217561112735</v>
      </c>
      <c r="P14">
        <f t="shared" si="1"/>
        <v>3.2955847568650602</v>
      </c>
    </row>
    <row r="15" spans="1:16" x14ac:dyDescent="0.2">
      <c r="A15" s="1" t="s">
        <v>23</v>
      </c>
      <c r="B15">
        <v>2.5</v>
      </c>
      <c r="C15">
        <v>0</v>
      </c>
      <c r="D15">
        <v>1.5</v>
      </c>
      <c r="E15">
        <v>0</v>
      </c>
      <c r="F15">
        <v>0</v>
      </c>
      <c r="G15">
        <v>1</v>
      </c>
      <c r="H15">
        <v>1</v>
      </c>
      <c r="I15">
        <v>6</v>
      </c>
      <c r="J15" s="3">
        <v>53.414401221993089</v>
      </c>
      <c r="L15">
        <v>45.397311052925772</v>
      </c>
      <c r="M15">
        <v>54.766809799200772</v>
      </c>
      <c r="N15">
        <v>58.492709714069314</v>
      </c>
      <c r="O15" s="3">
        <f t="shared" si="0"/>
        <v>52.885610188731953</v>
      </c>
      <c r="P15">
        <f t="shared" si="1"/>
        <v>5.5091772225619025</v>
      </c>
    </row>
    <row r="16" spans="1:16" x14ac:dyDescent="0.2">
      <c r="A16" s="1" t="s">
        <v>24</v>
      </c>
      <c r="B16">
        <v>1</v>
      </c>
      <c r="C16">
        <v>0</v>
      </c>
      <c r="D16">
        <v>3.5</v>
      </c>
      <c r="E16">
        <v>0.5</v>
      </c>
      <c r="F16">
        <v>0</v>
      </c>
      <c r="G16">
        <v>0</v>
      </c>
      <c r="H16">
        <v>1</v>
      </c>
      <c r="I16">
        <v>6</v>
      </c>
      <c r="J16" s="3">
        <v>61.095105299424823</v>
      </c>
      <c r="L16">
        <v>60.648406931246512</v>
      </c>
      <c r="M16">
        <v>63.97031447789719</v>
      </c>
      <c r="N16">
        <v>66.076500662753261</v>
      </c>
      <c r="O16" s="3">
        <f t="shared" si="0"/>
        <v>63.565074023965657</v>
      </c>
      <c r="P16">
        <f t="shared" si="1"/>
        <v>2.2344597048104928</v>
      </c>
    </row>
    <row r="17" spans="1:16" x14ac:dyDescent="0.2">
      <c r="A17" s="1" t="s">
        <v>25</v>
      </c>
      <c r="B17">
        <v>1</v>
      </c>
      <c r="C17">
        <v>0</v>
      </c>
      <c r="D17">
        <v>4.5</v>
      </c>
      <c r="E17">
        <v>0</v>
      </c>
      <c r="F17">
        <v>0</v>
      </c>
      <c r="G17">
        <v>0</v>
      </c>
      <c r="H17">
        <v>0.5</v>
      </c>
      <c r="I17">
        <v>6</v>
      </c>
      <c r="J17" s="3">
        <v>66.225031757734811</v>
      </c>
      <c r="L17">
        <v>60.648406931246512</v>
      </c>
      <c r="M17">
        <v>60.66420114671498</v>
      </c>
      <c r="N17">
        <v>65.224389320204523</v>
      </c>
      <c r="O17" s="3">
        <f t="shared" si="0"/>
        <v>62.178999132722005</v>
      </c>
      <c r="P17">
        <f t="shared" si="1"/>
        <v>2.1534257064534281</v>
      </c>
    </row>
    <row r="18" spans="1:16" x14ac:dyDescent="0.2">
      <c r="A18" s="1" t="s">
        <v>26</v>
      </c>
      <c r="B18">
        <v>3</v>
      </c>
      <c r="C18">
        <v>0</v>
      </c>
      <c r="D18">
        <v>1.5</v>
      </c>
      <c r="E18">
        <v>0</v>
      </c>
      <c r="F18">
        <v>0</v>
      </c>
      <c r="G18">
        <v>0.5</v>
      </c>
      <c r="H18">
        <v>1</v>
      </c>
      <c r="I18">
        <v>6</v>
      </c>
      <c r="J18" s="3">
        <v>59.808694797047231</v>
      </c>
      <c r="L18">
        <v>44.232296784442937</v>
      </c>
      <c r="M18">
        <v>45.20588746307925</v>
      </c>
      <c r="N18">
        <v>54.99905320961939</v>
      </c>
      <c r="O18" s="3">
        <f t="shared" si="0"/>
        <v>48.145745819047193</v>
      </c>
      <c r="P18">
        <f t="shared" si="1"/>
        <v>4.8622927612828519</v>
      </c>
    </row>
    <row r="19" spans="1:16" x14ac:dyDescent="0.2">
      <c r="A19" s="1" t="s">
        <v>27</v>
      </c>
      <c r="B19">
        <v>2.5</v>
      </c>
      <c r="C19">
        <v>0</v>
      </c>
      <c r="D19">
        <v>2</v>
      </c>
      <c r="E19">
        <v>0</v>
      </c>
      <c r="F19">
        <v>0</v>
      </c>
      <c r="G19">
        <v>0.5</v>
      </c>
      <c r="H19">
        <v>1</v>
      </c>
      <c r="I19">
        <v>6</v>
      </c>
      <c r="J19" s="3">
        <v>63.333962639727147</v>
      </c>
      <c r="L19">
        <v>48.468712306198697</v>
      </c>
      <c r="M19">
        <v>49.316190523467938</v>
      </c>
      <c r="N19">
        <v>53.039197121757248</v>
      </c>
      <c r="O19" s="3">
        <f t="shared" si="0"/>
        <v>50.274699983807956</v>
      </c>
      <c r="P19">
        <f t="shared" si="1"/>
        <v>1.9851764239791234</v>
      </c>
    </row>
    <row r="20" spans="1:16" x14ac:dyDescent="0.2">
      <c r="A20" s="1" t="s">
        <v>28</v>
      </c>
      <c r="B20">
        <v>1.5</v>
      </c>
      <c r="C20">
        <v>0</v>
      </c>
      <c r="D20">
        <v>3</v>
      </c>
      <c r="E20">
        <v>0</v>
      </c>
      <c r="F20">
        <v>0</v>
      </c>
      <c r="G20">
        <v>0.5</v>
      </c>
      <c r="H20">
        <v>1</v>
      </c>
      <c r="I20">
        <v>6</v>
      </c>
      <c r="J20" s="3">
        <v>61.9137862313694</v>
      </c>
      <c r="L20">
        <v>55.564708305139597</v>
      </c>
      <c r="M20">
        <v>59.14517610265829</v>
      </c>
      <c r="N20">
        <v>59.003976519598559</v>
      </c>
      <c r="O20" s="3">
        <f t="shared" si="0"/>
        <v>57.904620309132149</v>
      </c>
      <c r="P20">
        <f t="shared" si="1"/>
        <v>1.655571496570573</v>
      </c>
    </row>
    <row r="21" spans="1:16" x14ac:dyDescent="0.2">
      <c r="A21" s="1" t="s">
        <v>29</v>
      </c>
      <c r="B21">
        <v>0</v>
      </c>
      <c r="C21">
        <v>0</v>
      </c>
      <c r="D21">
        <v>6</v>
      </c>
      <c r="E21">
        <v>0</v>
      </c>
      <c r="F21">
        <v>0</v>
      </c>
      <c r="G21">
        <v>0</v>
      </c>
      <c r="H21">
        <v>0</v>
      </c>
      <c r="I21">
        <v>6</v>
      </c>
      <c r="J21" s="3">
        <v>65.984891628543892</v>
      </c>
      <c r="L21">
        <v>69.650789914977494</v>
      </c>
      <c r="M21">
        <v>77.016058973913474</v>
      </c>
      <c r="N21">
        <v>85.163794735845471</v>
      </c>
      <c r="O21" s="3">
        <f t="shared" si="0"/>
        <v>77.276881208245484</v>
      </c>
      <c r="P21">
        <f t="shared" si="1"/>
        <v>6.335842528636042</v>
      </c>
    </row>
    <row r="22" spans="1:16" x14ac:dyDescent="0.2">
      <c r="A22" s="1" t="s">
        <v>30</v>
      </c>
      <c r="B22">
        <v>0</v>
      </c>
      <c r="C22">
        <v>0</v>
      </c>
      <c r="D22">
        <v>5.5</v>
      </c>
      <c r="E22">
        <v>0</v>
      </c>
      <c r="F22">
        <v>0</v>
      </c>
      <c r="G22">
        <v>0.5</v>
      </c>
      <c r="H22">
        <v>0</v>
      </c>
      <c r="I22">
        <v>6</v>
      </c>
      <c r="J22" s="3">
        <v>70.808605643337785</v>
      </c>
      <c r="L22">
        <v>50.904651231208263</v>
      </c>
      <c r="M22">
        <v>68.706098438779804</v>
      </c>
      <c r="N22">
        <v>82.777882976708952</v>
      </c>
      <c r="O22" s="3">
        <f t="shared" si="0"/>
        <v>67.462877548899016</v>
      </c>
      <c r="P22">
        <f t="shared" si="1"/>
        <v>13.041853756563262</v>
      </c>
    </row>
    <row r="23" spans="1:16" x14ac:dyDescent="0.2">
      <c r="A23" s="1" t="s">
        <v>31</v>
      </c>
      <c r="B23">
        <v>1</v>
      </c>
      <c r="C23">
        <v>0</v>
      </c>
      <c r="D23">
        <v>1</v>
      </c>
      <c r="E23">
        <v>0.5</v>
      </c>
      <c r="F23">
        <v>0</v>
      </c>
      <c r="G23">
        <v>0</v>
      </c>
      <c r="H23">
        <v>0</v>
      </c>
      <c r="I23">
        <v>2.5</v>
      </c>
      <c r="J23" s="3">
        <v>93.479326788928063</v>
      </c>
      <c r="L23">
        <v>83.207319584595922</v>
      </c>
      <c r="M23">
        <v>88.721487254585611</v>
      </c>
      <c r="N23">
        <v>86.697595152433252</v>
      </c>
      <c r="O23" s="3">
        <f t="shared" si="0"/>
        <v>86.2088006638716</v>
      </c>
      <c r="P23">
        <f t="shared" si="1"/>
        <v>2.2775280916271292</v>
      </c>
    </row>
    <row r="24" spans="1:16" x14ac:dyDescent="0.2">
      <c r="A24" s="1" t="s">
        <v>32</v>
      </c>
      <c r="B24">
        <v>1</v>
      </c>
      <c r="C24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3</v>
      </c>
      <c r="J24" s="3">
        <v>90.571783987026777</v>
      </c>
      <c r="L24">
        <v>82.254126092200877</v>
      </c>
      <c r="M24">
        <v>83.717640050634159</v>
      </c>
      <c r="N24">
        <v>85.249005870100376</v>
      </c>
      <c r="O24" s="3">
        <f t="shared" si="0"/>
        <v>83.740257337645133</v>
      </c>
      <c r="P24">
        <f t="shared" si="1"/>
        <v>1.2227591415242389</v>
      </c>
    </row>
    <row r="25" spans="1:16" x14ac:dyDescent="0.2">
      <c r="A25" s="1" t="s">
        <v>33</v>
      </c>
      <c r="B25">
        <v>0</v>
      </c>
      <c r="C25">
        <v>0</v>
      </c>
      <c r="D25">
        <v>1.5</v>
      </c>
      <c r="E25">
        <v>1</v>
      </c>
      <c r="F25">
        <v>3.5</v>
      </c>
      <c r="G25">
        <v>0</v>
      </c>
      <c r="H25">
        <v>0</v>
      </c>
      <c r="I25">
        <v>6</v>
      </c>
      <c r="J25" s="3">
        <v>53.430622486953993</v>
      </c>
      <c r="L25">
        <v>22.308846459356886</v>
      </c>
      <c r="M25">
        <v>16.523120454714686</v>
      </c>
      <c r="N25">
        <v>20.744177239159253</v>
      </c>
      <c r="O25" s="3">
        <f t="shared" si="0"/>
        <v>19.858714717743609</v>
      </c>
      <c r="P25">
        <f t="shared" si="1"/>
        <v>2.4435887894409065</v>
      </c>
    </row>
    <row r="26" spans="1:16" x14ac:dyDescent="0.2">
      <c r="A26" s="1" t="s">
        <v>34</v>
      </c>
      <c r="B26">
        <v>0.5</v>
      </c>
      <c r="C26">
        <v>0</v>
      </c>
      <c r="D26">
        <v>0.5</v>
      </c>
      <c r="E26">
        <v>1</v>
      </c>
      <c r="F26">
        <v>0</v>
      </c>
      <c r="G26">
        <v>0</v>
      </c>
      <c r="H26">
        <v>0</v>
      </c>
      <c r="I26">
        <v>2</v>
      </c>
      <c r="J26" s="3">
        <v>94.596584496743048</v>
      </c>
      <c r="L26">
        <v>92.6333441205025</v>
      </c>
      <c r="M26">
        <v>86.576981310034981</v>
      </c>
      <c r="N26">
        <v>93.344063624313591</v>
      </c>
      <c r="O26" s="3">
        <f t="shared" si="0"/>
        <v>90.851463018283695</v>
      </c>
      <c r="P26">
        <f t="shared" si="1"/>
        <v>3.0364097175105758</v>
      </c>
    </row>
    <row r="27" spans="1:16" x14ac:dyDescent="0.2">
      <c r="A27" s="1" t="s">
        <v>35</v>
      </c>
      <c r="B27">
        <v>0.5</v>
      </c>
      <c r="C27">
        <v>0</v>
      </c>
      <c r="D27">
        <v>4</v>
      </c>
      <c r="E27">
        <v>0</v>
      </c>
      <c r="F27">
        <v>0</v>
      </c>
      <c r="G27">
        <v>0</v>
      </c>
      <c r="H27">
        <v>0</v>
      </c>
      <c r="I27">
        <v>4.5</v>
      </c>
      <c r="J27" s="3">
        <v>82.906472540458964</v>
      </c>
      <c r="L27">
        <v>84.160513076990966</v>
      </c>
      <c r="M27">
        <v>80.947653205589603</v>
      </c>
      <c r="N27">
        <v>84.737739064571116</v>
      </c>
      <c r="O27" s="3">
        <f t="shared" si="0"/>
        <v>83.281968449050552</v>
      </c>
      <c r="P27">
        <f t="shared" si="1"/>
        <v>1.6673468349596845</v>
      </c>
    </row>
    <row r="28" spans="1:16" x14ac:dyDescent="0.2">
      <c r="A28" s="1" t="s">
        <v>36</v>
      </c>
      <c r="B28">
        <v>0</v>
      </c>
      <c r="C28">
        <v>0</v>
      </c>
      <c r="D28">
        <v>0</v>
      </c>
      <c r="E28">
        <v>0.5</v>
      </c>
      <c r="F28">
        <v>4</v>
      </c>
      <c r="G28">
        <v>1.5</v>
      </c>
      <c r="H28">
        <v>0</v>
      </c>
      <c r="I28">
        <v>6</v>
      </c>
      <c r="J28" s="3">
        <v>40.829971459099809</v>
      </c>
      <c r="L28">
        <v>11.611897266923597</v>
      </c>
      <c r="M28">
        <v>10.625729107200478</v>
      </c>
      <c r="N28">
        <v>10.944896799848514</v>
      </c>
      <c r="O28" s="3">
        <f t="shared" si="0"/>
        <v>11.060841057990864</v>
      </c>
      <c r="P28">
        <f t="shared" si="1"/>
        <v>0.41086430287063197</v>
      </c>
    </row>
    <row r="29" spans="1:16" x14ac:dyDescent="0.2">
      <c r="A29" s="1" t="s">
        <v>37</v>
      </c>
      <c r="B29">
        <v>1</v>
      </c>
      <c r="C29">
        <v>0</v>
      </c>
      <c r="D29">
        <v>2.5</v>
      </c>
      <c r="E29">
        <v>0</v>
      </c>
      <c r="F29">
        <v>0</v>
      </c>
      <c r="G29">
        <v>0</v>
      </c>
      <c r="H29">
        <v>0</v>
      </c>
      <c r="I29">
        <v>3.5</v>
      </c>
      <c r="J29" s="3">
        <v>87.968767675956173</v>
      </c>
      <c r="L29">
        <v>95.069283045512037</v>
      </c>
      <c r="M29">
        <v>89.883094641217212</v>
      </c>
      <c r="N29">
        <v>92.151107744745318</v>
      </c>
      <c r="O29" s="3">
        <f t="shared" si="0"/>
        <v>92.367828477158184</v>
      </c>
      <c r="P29">
        <f t="shared" si="1"/>
        <v>2.1227911575884715</v>
      </c>
    </row>
    <row r="30" spans="1:16" x14ac:dyDescent="0.2">
      <c r="A30" s="1" t="s">
        <v>38</v>
      </c>
      <c r="B30">
        <v>0.5</v>
      </c>
      <c r="C30">
        <v>0</v>
      </c>
      <c r="D30">
        <v>1.5</v>
      </c>
      <c r="E30">
        <v>0</v>
      </c>
      <c r="F30">
        <v>0</v>
      </c>
      <c r="G30">
        <v>0</v>
      </c>
      <c r="H30">
        <v>0</v>
      </c>
      <c r="I30">
        <v>2</v>
      </c>
      <c r="J30" s="3">
        <v>93.033686270686658</v>
      </c>
      <c r="L30">
        <v>99.941160895531169</v>
      </c>
      <c r="M30">
        <v>88.453424011516788</v>
      </c>
      <c r="N30">
        <v>93.2588524900587</v>
      </c>
      <c r="O30" s="3">
        <f t="shared" si="0"/>
        <v>93.884479132368881</v>
      </c>
      <c r="P30">
        <f t="shared" si="1"/>
        <v>4.7106674120738878</v>
      </c>
    </row>
    <row r="31" spans="1:16" x14ac:dyDescent="0.2">
      <c r="A31" s="1" t="s">
        <v>39</v>
      </c>
      <c r="B31">
        <v>2.5</v>
      </c>
      <c r="C31">
        <v>0</v>
      </c>
      <c r="D31">
        <v>2</v>
      </c>
      <c r="E31">
        <v>0.5</v>
      </c>
      <c r="F31">
        <v>0</v>
      </c>
      <c r="G31">
        <v>0</v>
      </c>
      <c r="H31">
        <v>0</v>
      </c>
      <c r="I31">
        <v>5</v>
      </c>
      <c r="J31" s="3">
        <v>77.702192399213061</v>
      </c>
      <c r="L31">
        <v>80.665470271542475</v>
      </c>
      <c r="M31">
        <v>73.08446474223733</v>
      </c>
      <c r="N31">
        <v>85.163794735845471</v>
      </c>
      <c r="O31" s="3">
        <f t="shared" si="0"/>
        <v>79.637909916541759</v>
      </c>
      <c r="P31">
        <f t="shared" si="1"/>
        <v>4.9846072052534698</v>
      </c>
    </row>
    <row r="32" spans="1:16" x14ac:dyDescent="0.2">
      <c r="A32" s="1" t="s">
        <v>40</v>
      </c>
      <c r="B32">
        <v>0</v>
      </c>
      <c r="C32">
        <v>0</v>
      </c>
      <c r="D32">
        <v>0</v>
      </c>
      <c r="E32">
        <v>2</v>
      </c>
      <c r="F32">
        <v>0</v>
      </c>
      <c r="G32">
        <v>0</v>
      </c>
      <c r="H32">
        <v>0.5</v>
      </c>
      <c r="I32">
        <v>2.5</v>
      </c>
      <c r="J32" s="3">
        <v>92.944232210027167</v>
      </c>
      <c r="L32">
        <v>78.547262510664595</v>
      </c>
      <c r="M32">
        <v>69.867705825411392</v>
      </c>
      <c r="N32">
        <v>77.494792652906654</v>
      </c>
      <c r="O32" s="3">
        <f t="shared" si="0"/>
        <v>75.303253662994209</v>
      </c>
      <c r="P32">
        <f t="shared" si="1"/>
        <v>3.8674546686729867</v>
      </c>
    </row>
    <row r="33" spans="1:16" x14ac:dyDescent="0.2">
      <c r="A33" s="1" t="s">
        <v>41</v>
      </c>
      <c r="B33">
        <v>0</v>
      </c>
      <c r="C33">
        <v>0</v>
      </c>
      <c r="D33">
        <v>1.5</v>
      </c>
      <c r="E33">
        <v>1</v>
      </c>
      <c r="F33">
        <v>0</v>
      </c>
      <c r="G33">
        <v>0.5</v>
      </c>
      <c r="H33">
        <v>0</v>
      </c>
      <c r="I33">
        <v>3</v>
      </c>
      <c r="J33" s="3">
        <v>98.838111283601506</v>
      </c>
      <c r="L33">
        <v>101.2120855520579</v>
      </c>
      <c r="M33">
        <v>88.721487254585611</v>
      </c>
      <c r="N33">
        <v>92.662374550274578</v>
      </c>
      <c r="O33" s="3">
        <f t="shared" si="0"/>
        <v>94.198649118972696</v>
      </c>
      <c r="P33">
        <f t="shared" si="1"/>
        <v>5.213691342355296</v>
      </c>
    </row>
    <row r="34" spans="1:16" x14ac:dyDescent="0.2">
      <c r="A34" s="1" t="s">
        <v>42</v>
      </c>
      <c r="B34">
        <v>0</v>
      </c>
      <c r="C34">
        <v>0</v>
      </c>
      <c r="D34">
        <v>0.5</v>
      </c>
      <c r="E34">
        <v>0</v>
      </c>
      <c r="F34">
        <v>2</v>
      </c>
      <c r="G34">
        <v>0</v>
      </c>
      <c r="H34">
        <v>0.5</v>
      </c>
      <c r="I34">
        <v>3</v>
      </c>
      <c r="J34" s="3">
        <v>80.815092785970762</v>
      </c>
      <c r="L34">
        <v>51.434203171427733</v>
      </c>
      <c r="M34">
        <v>55.481645114050984</v>
      </c>
      <c r="N34">
        <v>60.282143533421703</v>
      </c>
      <c r="O34" s="3">
        <f t="shared" si="0"/>
        <v>55.732663939633476</v>
      </c>
      <c r="P34">
        <f t="shared" si="1"/>
        <v>3.6165148970104823</v>
      </c>
    </row>
    <row r="35" spans="1:16" x14ac:dyDescent="0.2">
      <c r="A35" s="1" t="s">
        <v>43</v>
      </c>
      <c r="B35">
        <v>2.5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2.5</v>
      </c>
      <c r="J35" s="3">
        <v>99.525155687128731</v>
      </c>
      <c r="L35">
        <v>100.47071283575065</v>
      </c>
      <c r="M35">
        <v>86.219563652609892</v>
      </c>
      <c r="N35">
        <v>88.742662374550278</v>
      </c>
      <c r="O35" s="3">
        <f t="shared" si="0"/>
        <v>91.810979620970272</v>
      </c>
      <c r="P35">
        <f t="shared" si="1"/>
        <v>6.209387586740049</v>
      </c>
    </row>
    <row r="36" spans="1:16" x14ac:dyDescent="0.2">
      <c r="A36" s="1" t="s">
        <v>44</v>
      </c>
      <c r="B36">
        <v>2.5</v>
      </c>
      <c r="C36">
        <v>0</v>
      </c>
      <c r="D36">
        <v>2</v>
      </c>
      <c r="E36">
        <v>0.5</v>
      </c>
      <c r="F36">
        <v>0</v>
      </c>
      <c r="G36">
        <v>0</v>
      </c>
      <c r="H36">
        <v>0</v>
      </c>
      <c r="I36">
        <v>5</v>
      </c>
      <c r="J36" s="3">
        <v>86.009651418312856</v>
      </c>
      <c r="L36">
        <v>78.970904062840177</v>
      </c>
      <c r="M36">
        <v>79.428628161532927</v>
      </c>
      <c r="N36">
        <v>85.760272675629622</v>
      </c>
      <c r="O36" s="3">
        <f t="shared" si="0"/>
        <v>81.386601633334237</v>
      </c>
      <c r="P36">
        <f t="shared" si="1"/>
        <v>3.0982927155979407</v>
      </c>
    </row>
    <row r="37" spans="1:16" x14ac:dyDescent="0.2">
      <c r="A37" s="1" t="s">
        <v>45</v>
      </c>
      <c r="B37">
        <v>2</v>
      </c>
      <c r="C37">
        <v>0</v>
      </c>
      <c r="D37">
        <v>2</v>
      </c>
      <c r="E37">
        <v>0</v>
      </c>
      <c r="F37">
        <v>0</v>
      </c>
      <c r="G37">
        <v>0</v>
      </c>
      <c r="H37">
        <v>0</v>
      </c>
      <c r="I37">
        <v>4</v>
      </c>
      <c r="J37" s="3">
        <v>94.952214957832268</v>
      </c>
      <c r="L37">
        <v>101.52981671618957</v>
      </c>
      <c r="M37">
        <v>91.223410856561344</v>
      </c>
      <c r="N37">
        <v>93.51448589282333</v>
      </c>
      <c r="O37" s="3">
        <f t="shared" si="0"/>
        <v>95.42257115519142</v>
      </c>
      <c r="P37">
        <f t="shared" si="1"/>
        <v>4.4186040376416384</v>
      </c>
    </row>
    <row r="38" spans="1:16" x14ac:dyDescent="0.2">
      <c r="A38" s="1" t="s">
        <v>46</v>
      </c>
      <c r="B38">
        <v>0</v>
      </c>
      <c r="C38">
        <v>0</v>
      </c>
      <c r="D38">
        <v>0.5</v>
      </c>
      <c r="E38">
        <v>2</v>
      </c>
      <c r="F38">
        <v>0</v>
      </c>
      <c r="G38">
        <v>0</v>
      </c>
      <c r="H38">
        <v>0.5</v>
      </c>
      <c r="I38">
        <v>3</v>
      </c>
      <c r="J38" s="3">
        <v>89.495099025444716</v>
      </c>
      <c r="L38">
        <v>74.628578153040507</v>
      </c>
      <c r="M38">
        <v>69.778351411055112</v>
      </c>
      <c r="N38">
        <v>78.687748532474913</v>
      </c>
      <c r="O38" s="3">
        <f t="shared" si="0"/>
        <v>74.364892698856849</v>
      </c>
      <c r="P38">
        <f t="shared" si="1"/>
        <v>3.6420220373534158</v>
      </c>
    </row>
    <row r="39" spans="1:16" x14ac:dyDescent="0.2">
      <c r="A39" s="1" t="s">
        <v>47</v>
      </c>
      <c r="B39">
        <v>0</v>
      </c>
      <c r="C39">
        <v>1.5</v>
      </c>
      <c r="D39">
        <v>1</v>
      </c>
      <c r="E39">
        <v>2.5</v>
      </c>
      <c r="F39">
        <v>0</v>
      </c>
      <c r="G39">
        <v>0</v>
      </c>
      <c r="H39">
        <v>1</v>
      </c>
      <c r="I39">
        <v>6</v>
      </c>
      <c r="J39" s="3">
        <v>39.136302138456287</v>
      </c>
      <c r="L39">
        <v>17.225147833249977</v>
      </c>
      <c r="M39">
        <v>13.485070366601306</v>
      </c>
      <c r="N39">
        <v>14.012497633024051</v>
      </c>
      <c r="O39" s="3">
        <f t="shared" si="0"/>
        <v>14.90757194429178</v>
      </c>
      <c r="P39">
        <f t="shared" si="1"/>
        <v>1.6528588125127899</v>
      </c>
    </row>
    <row r="40" spans="1:16" x14ac:dyDescent="0.2">
      <c r="A40" s="1" t="s">
        <v>48</v>
      </c>
      <c r="B40">
        <v>0</v>
      </c>
      <c r="C40">
        <v>0.5</v>
      </c>
      <c r="D40">
        <v>5</v>
      </c>
      <c r="E40">
        <v>0</v>
      </c>
      <c r="F40">
        <v>0</v>
      </c>
      <c r="G40">
        <v>0</v>
      </c>
      <c r="H40">
        <v>0.5</v>
      </c>
      <c r="I40">
        <v>6</v>
      </c>
      <c r="J40" s="3">
        <v>75.037372769677461</v>
      </c>
      <c r="L40">
        <v>71.451266511723688</v>
      </c>
      <c r="M40">
        <v>68.884807267492349</v>
      </c>
      <c r="N40">
        <v>74.938458625260367</v>
      </c>
      <c r="O40" s="3">
        <f t="shared" si="0"/>
        <v>71.758177468158806</v>
      </c>
      <c r="P40">
        <f t="shared" si="1"/>
        <v>2.4809029863790291</v>
      </c>
    </row>
    <row r="41" spans="1:16" x14ac:dyDescent="0.2">
      <c r="A41" s="1" t="s">
        <v>49</v>
      </c>
      <c r="B41">
        <v>0</v>
      </c>
      <c r="C41">
        <v>0</v>
      </c>
      <c r="D41">
        <v>1</v>
      </c>
      <c r="E41">
        <v>0.5</v>
      </c>
      <c r="F41">
        <v>0</v>
      </c>
      <c r="G41">
        <v>1</v>
      </c>
      <c r="H41">
        <v>0</v>
      </c>
      <c r="I41">
        <v>2.5</v>
      </c>
      <c r="J41" s="3">
        <v>97.279438264476426</v>
      </c>
      <c r="L41">
        <v>97.717042746609394</v>
      </c>
      <c r="M41">
        <v>90.776638784779976</v>
      </c>
      <c r="N41">
        <v>95.559553114940357</v>
      </c>
      <c r="O41" s="3">
        <f t="shared" si="0"/>
        <v>94.684411548776566</v>
      </c>
      <c r="P41">
        <f t="shared" si="1"/>
        <v>2.9001961265823692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 Emerson</cp:lastModifiedBy>
  <dcterms:created xsi:type="dcterms:W3CDTF">2025-05-21T20:25:27Z</dcterms:created>
  <dcterms:modified xsi:type="dcterms:W3CDTF">2025-05-22T19:15:23Z</dcterms:modified>
</cp:coreProperties>
</file>