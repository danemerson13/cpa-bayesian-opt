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anemerson/Documents/CMU/01_Research/Projects/CPA/Bayesian Optimization/cpa-bayesian-opt/results/"/>
    </mc:Choice>
  </mc:AlternateContent>
  <xr:revisionPtr revIDLastSave="0" documentId="8_{2517B2E0-8B7F-8941-88B5-1B795724B945}" xr6:coauthVersionLast="47" xr6:coauthVersionMax="47" xr10:uidLastSave="{00000000-0000-0000-0000-000000000000}"/>
  <bookViews>
    <workbookView xWindow="0" yWindow="500" windowWidth="35840" windowHeight="19980" xr2:uid="{5BBBF348-0167-5541-B79A-EC4E010FEC1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1" i="1" l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2" i="1"/>
</calcChain>
</file>

<file path=xl/sharedStrings.xml><?xml version="1.0" encoding="utf-8"?>
<sst xmlns="http://schemas.openxmlformats.org/spreadsheetml/2006/main" count="55" uniqueCount="55">
  <si>
    <t>Index</t>
  </si>
  <si>
    <t>Glycerol</t>
  </si>
  <si>
    <t>DMSO</t>
  </si>
  <si>
    <t>EG</t>
  </si>
  <si>
    <t>12PD</t>
  </si>
  <si>
    <t>13PD</t>
  </si>
  <si>
    <t>3M12PD</t>
  </si>
  <si>
    <t>Urea</t>
  </si>
  <si>
    <t>Total Molarity</t>
  </si>
  <si>
    <t>Predicted Viability</t>
  </si>
  <si>
    <t>n2</t>
  </si>
  <si>
    <t>Random 1</t>
  </si>
  <si>
    <t>Random 2</t>
  </si>
  <si>
    <t>Random 3</t>
  </si>
  <si>
    <t>Random 4</t>
  </si>
  <si>
    <t>Random 5</t>
  </si>
  <si>
    <t>Random 6</t>
  </si>
  <si>
    <t>Random 7</t>
  </si>
  <si>
    <t>Random 8</t>
  </si>
  <si>
    <t>Random 9</t>
  </si>
  <si>
    <t>Random 10</t>
  </si>
  <si>
    <t>LogNParEGO 1</t>
  </si>
  <si>
    <t>LogNParEGO 2</t>
  </si>
  <si>
    <t>LogNParEGO 3</t>
  </si>
  <si>
    <t>LogNParEGO 4</t>
  </si>
  <si>
    <t>LogNParEGO 5</t>
  </si>
  <si>
    <t>LogNParEGO 6</t>
  </si>
  <si>
    <t>LogNParEGO 7</t>
  </si>
  <si>
    <t>LogNParEGO 8</t>
  </si>
  <si>
    <t>LogNParEGO 9</t>
  </si>
  <si>
    <t>LogNParEGO 10</t>
  </si>
  <si>
    <t>LogNEHVI 1</t>
  </si>
  <si>
    <t>LogNEHVI 2</t>
  </si>
  <si>
    <t>LogNEHVI 3</t>
  </si>
  <si>
    <t>LogNEHVI 4</t>
  </si>
  <si>
    <t>LogNEHVI 5</t>
  </si>
  <si>
    <t>LogNEHVI 6</t>
  </si>
  <si>
    <t>LogNEHVI 7</t>
  </si>
  <si>
    <t>LogNEHVI 8</t>
  </si>
  <si>
    <t>LogNEHVI 9</t>
  </si>
  <si>
    <t>LogNEHVI 10</t>
  </si>
  <si>
    <t>VarLogNEHVI 1</t>
  </si>
  <si>
    <t>VarLogNEHVI 2</t>
  </si>
  <si>
    <t>VarLogNEHVI 3</t>
  </si>
  <si>
    <t>VarLogNEHVI 4</t>
  </si>
  <si>
    <t>VarLogNEHVI 5</t>
  </si>
  <si>
    <t>VarLogNEHVI 6</t>
  </si>
  <si>
    <t>VarLogNEHVI 7</t>
  </si>
  <si>
    <t>VarLogNEHVI 8</t>
  </si>
  <si>
    <t>VarLogNEHVI 9</t>
  </si>
  <si>
    <t>VarLogNEHVI 10</t>
  </si>
  <si>
    <t>n3</t>
  </si>
  <si>
    <t>n4 (6.16.25)</t>
  </si>
  <si>
    <t>Experimental average</t>
  </si>
  <si>
    <t>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</si>
</sst>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0" borderId="1" xfId="0" applyBorder="1"/>
    <xf numFmtId="0" fontId="1" fillId="2" borderId="1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FE471-5B82-B44F-A985-1EBE7A3CBEB8}">
  <dimension ref="A1:P41"/>
  <sheetViews>
    <sheetView tabSelected="1" zoomScale="90" zoomScaleNormal="90" workbookViewId="0">
      <selection activeCell="S6" sqref="S6"/>
    </sheetView>
  </sheetViews>
  <sheetFormatPr baseColWidth="10" defaultRowHeight="16" x14ac:dyDescent="0.2"/>
  <cols>
    <col min="10" max="11" width="17.5" customWidth="1"/>
    <col min="15" max="15" width="19.1640625" bestFit="1" customWidth="1"/>
  </cols>
  <sheetData>
    <row r="1" spans="1:16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5" t="s">
        <v>9</v>
      </c>
      <c r="L1" s="4" t="s">
        <v>10</v>
      </c>
      <c r="M1" s="4" t="s">
        <v>51</v>
      </c>
      <c r="N1" s="4" t="s">
        <v>52</v>
      </c>
      <c r="O1" t="s">
        <v>53</v>
      </c>
      <c r="P1" t="s">
        <v>54</v>
      </c>
    </row>
    <row r="2" spans="1:16" x14ac:dyDescent="0.2">
      <c r="A2" s="2" t="s">
        <v>11</v>
      </c>
      <c r="B2">
        <v>0.5</v>
      </c>
      <c r="C2">
        <v>1</v>
      </c>
      <c r="D2">
        <v>0</v>
      </c>
      <c r="E2">
        <v>1.5</v>
      </c>
      <c r="F2">
        <v>2</v>
      </c>
      <c r="G2">
        <v>0</v>
      </c>
      <c r="H2">
        <v>0.5</v>
      </c>
      <c r="I2">
        <v>5.5</v>
      </c>
      <c r="J2" s="1">
        <v>29.946421811653249</v>
      </c>
      <c r="L2" s="4">
        <v>41.802114565251685</v>
      </c>
      <c r="M2" s="4">
        <v>37.043386522484504</v>
      </c>
      <c r="N2" s="4">
        <v>38.518767824562033</v>
      </c>
      <c r="O2" s="1">
        <f>AVERAGE(L2:N2)</f>
        <v>39.121422970766069</v>
      </c>
      <c r="P2" s="4">
        <f>_xlfn.STDEV.P(L2:N2)</f>
        <v>1.98893071191354</v>
      </c>
    </row>
    <row r="3" spans="1:16" x14ac:dyDescent="0.2">
      <c r="A3" s="2" t="s">
        <v>12</v>
      </c>
      <c r="B3">
        <v>0.5</v>
      </c>
      <c r="C3">
        <v>0.5</v>
      </c>
      <c r="D3">
        <v>0</v>
      </c>
      <c r="E3">
        <v>0</v>
      </c>
      <c r="F3">
        <v>2</v>
      </c>
      <c r="G3">
        <v>1</v>
      </c>
      <c r="H3">
        <v>1</v>
      </c>
      <c r="I3">
        <v>5</v>
      </c>
      <c r="J3" s="1">
        <v>28.30354088266154</v>
      </c>
      <c r="L3" s="4">
        <v>45.778759665456825</v>
      </c>
      <c r="M3" s="4">
        <v>50.652775946195433</v>
      </c>
      <c r="N3" s="4">
        <v>51.017660708908302</v>
      </c>
      <c r="O3" s="1">
        <f t="shared" ref="O3:O41" si="0">AVERAGE(L3:N3)</f>
        <v>49.14973210685352</v>
      </c>
      <c r="P3" s="4">
        <f t="shared" ref="P3:P40" si="1">_xlfn.STDEV.P(L3:N3)</f>
        <v>2.3882876184981021</v>
      </c>
    </row>
    <row r="4" spans="1:16" x14ac:dyDescent="0.2">
      <c r="A4" s="2" t="s">
        <v>13</v>
      </c>
      <c r="B4">
        <v>2</v>
      </c>
      <c r="C4">
        <v>2</v>
      </c>
      <c r="D4">
        <v>0.5</v>
      </c>
      <c r="E4">
        <v>0.5</v>
      </c>
      <c r="F4">
        <v>1</v>
      </c>
      <c r="G4">
        <v>0</v>
      </c>
      <c r="H4">
        <v>0</v>
      </c>
      <c r="I4">
        <v>6</v>
      </c>
      <c r="J4" s="1">
        <v>34.329584073668521</v>
      </c>
      <c r="L4" s="4">
        <v>34.254604477107229</v>
      </c>
      <c r="M4" s="4">
        <v>25.96597652644072</v>
      </c>
      <c r="N4" s="4">
        <v>16.008006660407773</v>
      </c>
      <c r="O4" s="1">
        <f t="shared" si="0"/>
        <v>25.409529221318575</v>
      </c>
      <c r="P4" s="4">
        <f t="shared" si="1"/>
        <v>7.4595267130307308</v>
      </c>
    </row>
    <row r="5" spans="1:16" x14ac:dyDescent="0.2">
      <c r="A5" s="2" t="s">
        <v>14</v>
      </c>
      <c r="B5">
        <v>2.5</v>
      </c>
      <c r="C5">
        <v>0</v>
      </c>
      <c r="D5">
        <v>1</v>
      </c>
      <c r="E5">
        <v>1.5</v>
      </c>
      <c r="F5">
        <v>0</v>
      </c>
      <c r="G5">
        <v>0</v>
      </c>
      <c r="H5">
        <v>1</v>
      </c>
      <c r="I5">
        <v>6</v>
      </c>
      <c r="J5" s="1">
        <v>57.676995630625953</v>
      </c>
      <c r="L5" s="4">
        <v>66.311233346107883</v>
      </c>
      <c r="M5" s="4">
        <v>67.585388368719507</v>
      </c>
      <c r="N5" s="4">
        <v>67.342745292544251</v>
      </c>
      <c r="O5" s="1">
        <f t="shared" si="0"/>
        <v>67.079789002457218</v>
      </c>
      <c r="P5" s="4">
        <f t="shared" si="1"/>
        <v>0.55240520350183775</v>
      </c>
    </row>
    <row r="6" spans="1:16" x14ac:dyDescent="0.2">
      <c r="A6" s="2" t="s">
        <v>15</v>
      </c>
      <c r="B6">
        <v>1</v>
      </c>
      <c r="C6">
        <v>0.5</v>
      </c>
      <c r="D6">
        <v>2</v>
      </c>
      <c r="E6">
        <v>0.5</v>
      </c>
      <c r="F6">
        <v>1.5</v>
      </c>
      <c r="G6">
        <v>0</v>
      </c>
      <c r="H6">
        <v>0</v>
      </c>
      <c r="I6">
        <v>5.5</v>
      </c>
      <c r="J6" s="1">
        <v>45.447783731164108</v>
      </c>
      <c r="L6" s="4">
        <v>63.714240627606557</v>
      </c>
      <c r="M6" s="4">
        <v>58.327838586311486</v>
      </c>
      <c r="N6" s="4">
        <v>59.690361893964891</v>
      </c>
      <c r="O6" s="1">
        <f t="shared" si="0"/>
        <v>60.577480369294314</v>
      </c>
      <c r="P6" s="4">
        <f t="shared" si="1"/>
        <v>2.2867103197344467</v>
      </c>
    </row>
    <row r="7" spans="1:16" x14ac:dyDescent="0.2">
      <c r="A7" s="2" t="s">
        <v>16</v>
      </c>
      <c r="B7">
        <v>1</v>
      </c>
      <c r="C7">
        <v>0</v>
      </c>
      <c r="D7">
        <v>2</v>
      </c>
      <c r="E7">
        <v>0.5</v>
      </c>
      <c r="F7">
        <v>0</v>
      </c>
      <c r="G7">
        <v>1.5</v>
      </c>
      <c r="H7">
        <v>0</v>
      </c>
      <c r="I7">
        <v>5</v>
      </c>
      <c r="J7" s="1">
        <v>47.993203590528267</v>
      </c>
      <c r="L7" s="4">
        <v>77.67307648955115</v>
      </c>
      <c r="M7" s="4">
        <v>71.541606224449424</v>
      </c>
      <c r="N7" s="4">
        <v>74.548739659539791</v>
      </c>
      <c r="O7" s="1">
        <f t="shared" si="0"/>
        <v>74.587807457846779</v>
      </c>
      <c r="P7" s="4">
        <f t="shared" si="1"/>
        <v>2.5033146855859032</v>
      </c>
    </row>
    <row r="8" spans="1:16" x14ac:dyDescent="0.2">
      <c r="A8" s="2" t="s">
        <v>17</v>
      </c>
      <c r="B8">
        <v>0.5</v>
      </c>
      <c r="C8">
        <v>0.5</v>
      </c>
      <c r="D8">
        <v>0</v>
      </c>
      <c r="E8">
        <v>1</v>
      </c>
      <c r="F8">
        <v>0</v>
      </c>
      <c r="G8">
        <v>4</v>
      </c>
      <c r="H8">
        <v>0</v>
      </c>
      <c r="I8">
        <v>6</v>
      </c>
      <c r="J8" s="1">
        <v>1.578545185350102</v>
      </c>
      <c r="L8" s="4">
        <v>-0.72364120020739897</v>
      </c>
      <c r="M8" s="4">
        <v>-0.61980746406435483</v>
      </c>
      <c r="N8" s="4">
        <v>-0.25330806157334435</v>
      </c>
      <c r="O8" s="1">
        <f t="shared" si="0"/>
        <v>-0.53225224194836607</v>
      </c>
      <c r="P8" s="4">
        <f t="shared" si="1"/>
        <v>0.20174695869525161</v>
      </c>
    </row>
    <row r="9" spans="1:16" x14ac:dyDescent="0.2">
      <c r="A9" s="2" t="s">
        <v>18</v>
      </c>
      <c r="B9">
        <v>0.5</v>
      </c>
      <c r="C9">
        <v>0</v>
      </c>
      <c r="D9">
        <v>1.5</v>
      </c>
      <c r="E9">
        <v>2</v>
      </c>
      <c r="F9">
        <v>0.5</v>
      </c>
      <c r="G9">
        <v>0.5</v>
      </c>
      <c r="H9">
        <v>0.5</v>
      </c>
      <c r="I9">
        <v>5.5</v>
      </c>
      <c r="J9" s="1">
        <v>35.496055760121493</v>
      </c>
      <c r="L9" s="4">
        <v>47.077256024707488</v>
      </c>
      <c r="M9" s="4">
        <v>34.353158380588155</v>
      </c>
      <c r="N9" s="4">
        <v>35.840433635059256</v>
      </c>
      <c r="O9" s="1">
        <f t="shared" si="0"/>
        <v>39.0902826801183</v>
      </c>
      <c r="P9" s="4">
        <f t="shared" si="1"/>
        <v>5.6801880441891726</v>
      </c>
    </row>
    <row r="10" spans="1:16" x14ac:dyDescent="0.2">
      <c r="A10" s="2" t="s">
        <v>19</v>
      </c>
      <c r="B10">
        <v>0.5</v>
      </c>
      <c r="C10">
        <v>1</v>
      </c>
      <c r="D10">
        <v>0</v>
      </c>
      <c r="E10">
        <v>0.5</v>
      </c>
      <c r="F10">
        <v>1</v>
      </c>
      <c r="G10">
        <v>0</v>
      </c>
      <c r="H10">
        <v>3</v>
      </c>
      <c r="I10">
        <v>6</v>
      </c>
      <c r="J10" s="1">
        <v>17.745978700594559</v>
      </c>
      <c r="L10" s="4">
        <v>22.405825198944971</v>
      </c>
      <c r="M10" s="4">
        <v>17.024924172491097</v>
      </c>
      <c r="N10" s="4">
        <v>14.094910810762936</v>
      </c>
      <c r="O10" s="1">
        <f t="shared" si="0"/>
        <v>17.841886727399668</v>
      </c>
      <c r="P10" s="4">
        <f t="shared" si="1"/>
        <v>3.4417432941282224</v>
      </c>
    </row>
    <row r="11" spans="1:16" x14ac:dyDescent="0.2">
      <c r="A11" s="2" t="s">
        <v>20</v>
      </c>
      <c r="B11">
        <v>0</v>
      </c>
      <c r="C11">
        <v>0</v>
      </c>
      <c r="D11">
        <v>0.5</v>
      </c>
      <c r="E11">
        <v>0</v>
      </c>
      <c r="F11">
        <v>2</v>
      </c>
      <c r="G11">
        <v>1</v>
      </c>
      <c r="H11">
        <v>2</v>
      </c>
      <c r="I11">
        <v>5.5</v>
      </c>
      <c r="J11" s="1">
        <v>11.4845069177057</v>
      </c>
      <c r="L11" s="4">
        <v>24.840505872539953</v>
      </c>
      <c r="M11" s="4">
        <v>19.240406171699853</v>
      </c>
      <c r="N11" s="4">
        <v>21.428444901068151</v>
      </c>
      <c r="O11" s="1">
        <f t="shared" si="0"/>
        <v>21.836452315102651</v>
      </c>
      <c r="P11" s="4">
        <f t="shared" si="1"/>
        <v>2.3043627755871583</v>
      </c>
    </row>
    <row r="12" spans="1:16" x14ac:dyDescent="0.2">
      <c r="A12" s="2" t="s">
        <v>21</v>
      </c>
      <c r="B12">
        <v>0.5</v>
      </c>
      <c r="C12">
        <v>0.5</v>
      </c>
      <c r="D12">
        <v>4</v>
      </c>
      <c r="E12">
        <v>0.5</v>
      </c>
      <c r="F12">
        <v>0</v>
      </c>
      <c r="G12">
        <v>0</v>
      </c>
      <c r="H12">
        <v>0.5</v>
      </c>
      <c r="I12">
        <v>6</v>
      </c>
      <c r="J12" s="1">
        <v>60.374211549335691</v>
      </c>
      <c r="L12" s="4">
        <v>72.479091052548512</v>
      </c>
      <c r="M12" s="4">
        <v>79.37491757879468</v>
      </c>
      <c r="N12" s="4">
        <v>69.44715072715357</v>
      </c>
      <c r="O12" s="1">
        <f t="shared" si="0"/>
        <v>73.767053119498925</v>
      </c>
      <c r="P12" s="4">
        <f t="shared" si="1"/>
        <v>4.154056120593733</v>
      </c>
    </row>
    <row r="13" spans="1:16" x14ac:dyDescent="0.2">
      <c r="A13" s="2" t="s">
        <v>22</v>
      </c>
      <c r="B13">
        <v>3.5</v>
      </c>
      <c r="C13">
        <v>0</v>
      </c>
      <c r="D13">
        <v>0</v>
      </c>
      <c r="E13">
        <v>0</v>
      </c>
      <c r="F13">
        <v>2.5</v>
      </c>
      <c r="G13">
        <v>0</v>
      </c>
      <c r="H13">
        <v>0</v>
      </c>
      <c r="I13">
        <v>6</v>
      </c>
      <c r="J13" s="1">
        <v>54.748380943563681</v>
      </c>
      <c r="L13" s="4">
        <v>42.938298879596012</v>
      </c>
      <c r="M13" s="4">
        <v>52.235263088487407</v>
      </c>
      <c r="N13" s="4">
        <v>42.344959523851699</v>
      </c>
      <c r="O13" s="1">
        <f t="shared" si="0"/>
        <v>45.839507163978375</v>
      </c>
      <c r="P13" s="4">
        <f t="shared" si="1"/>
        <v>4.5289648031449072</v>
      </c>
    </row>
    <row r="14" spans="1:16" x14ac:dyDescent="0.2">
      <c r="A14" s="2" t="s">
        <v>23</v>
      </c>
      <c r="B14">
        <v>3.5</v>
      </c>
      <c r="C14">
        <v>0</v>
      </c>
      <c r="D14">
        <v>0.5</v>
      </c>
      <c r="E14">
        <v>0</v>
      </c>
      <c r="F14">
        <v>1.5</v>
      </c>
      <c r="G14">
        <v>0</v>
      </c>
      <c r="H14">
        <v>0.5</v>
      </c>
      <c r="I14">
        <v>6</v>
      </c>
      <c r="J14" s="1">
        <v>58.850065996074832</v>
      </c>
      <c r="L14" s="4">
        <v>46.265695800175827</v>
      </c>
      <c r="M14" s="4">
        <v>44.955822233944353</v>
      </c>
      <c r="N14" s="4">
        <v>46.362460808105865</v>
      </c>
      <c r="O14" s="1">
        <f t="shared" si="0"/>
        <v>45.861326280742013</v>
      </c>
      <c r="P14" s="4">
        <f t="shared" si="1"/>
        <v>0.64150554726888731</v>
      </c>
    </row>
    <row r="15" spans="1:16" x14ac:dyDescent="0.2">
      <c r="A15" s="2" t="s">
        <v>24</v>
      </c>
      <c r="B15">
        <v>2.5</v>
      </c>
      <c r="C15">
        <v>0</v>
      </c>
      <c r="D15">
        <v>0</v>
      </c>
      <c r="E15">
        <v>0</v>
      </c>
      <c r="F15">
        <v>3.5</v>
      </c>
      <c r="G15">
        <v>0</v>
      </c>
      <c r="H15">
        <v>0</v>
      </c>
      <c r="I15">
        <v>6</v>
      </c>
      <c r="J15" s="1">
        <v>46.975942311486627</v>
      </c>
      <c r="L15" s="4">
        <v>39.529745936563039</v>
      </c>
      <c r="M15" s="4">
        <v>21.535012528023209</v>
      </c>
      <c r="N15" s="4">
        <v>42.663808832125838</v>
      </c>
      <c r="O15" s="1">
        <f t="shared" si="0"/>
        <v>34.576189098904031</v>
      </c>
      <c r="P15" s="4">
        <f t="shared" si="1"/>
        <v>9.3098443353618574</v>
      </c>
    </row>
    <row r="16" spans="1:16" x14ac:dyDescent="0.2">
      <c r="A16" s="2" t="s">
        <v>25</v>
      </c>
      <c r="B16">
        <v>1.5</v>
      </c>
      <c r="C16">
        <v>0</v>
      </c>
      <c r="D16">
        <v>1</v>
      </c>
      <c r="E16">
        <v>0</v>
      </c>
      <c r="F16">
        <v>3.5</v>
      </c>
      <c r="G16">
        <v>0</v>
      </c>
      <c r="H16">
        <v>0</v>
      </c>
      <c r="I16">
        <v>6</v>
      </c>
      <c r="J16" s="1">
        <v>49.510512761545883</v>
      </c>
      <c r="L16" s="4">
        <v>42.28905069997068</v>
      </c>
      <c r="M16" s="4">
        <v>44.006329948569167</v>
      </c>
      <c r="N16" s="4">
        <v>53.887304483375559</v>
      </c>
      <c r="O16" s="1">
        <f t="shared" si="0"/>
        <v>46.727561710638469</v>
      </c>
      <c r="P16" s="4">
        <f t="shared" si="1"/>
        <v>5.1110142133264214</v>
      </c>
    </row>
    <row r="17" spans="1:16" x14ac:dyDescent="0.2">
      <c r="A17" s="2" t="s">
        <v>26</v>
      </c>
      <c r="B17">
        <v>4</v>
      </c>
      <c r="C17">
        <v>0</v>
      </c>
      <c r="D17">
        <v>0</v>
      </c>
      <c r="E17">
        <v>0</v>
      </c>
      <c r="F17">
        <v>2</v>
      </c>
      <c r="G17">
        <v>0</v>
      </c>
      <c r="H17">
        <v>0</v>
      </c>
      <c r="I17">
        <v>6</v>
      </c>
      <c r="J17" s="1">
        <v>53.027573489438034</v>
      </c>
      <c r="L17" s="4">
        <v>38.880497756937714</v>
      </c>
      <c r="M17" s="4">
        <v>54.925491230383756</v>
      </c>
      <c r="N17" s="4">
        <v>41.005792429100318</v>
      </c>
      <c r="O17" s="1">
        <f t="shared" si="0"/>
        <v>44.937260472140593</v>
      </c>
      <c r="P17" s="4">
        <f t="shared" si="1"/>
        <v>7.1158407617941437</v>
      </c>
    </row>
    <row r="18" spans="1:16" x14ac:dyDescent="0.2">
      <c r="A18" s="2" t="s">
        <v>27</v>
      </c>
      <c r="B18">
        <v>1</v>
      </c>
      <c r="C18">
        <v>0</v>
      </c>
      <c r="D18">
        <v>1</v>
      </c>
      <c r="E18">
        <v>0</v>
      </c>
      <c r="F18">
        <v>3.5</v>
      </c>
      <c r="G18">
        <v>0.5</v>
      </c>
      <c r="H18">
        <v>0</v>
      </c>
      <c r="I18">
        <v>6</v>
      </c>
      <c r="J18" s="1">
        <v>46.168789861672167</v>
      </c>
      <c r="L18" s="4">
        <v>18.753804188552486</v>
      </c>
      <c r="M18" s="4">
        <v>14.967690887511537</v>
      </c>
      <c r="N18" s="4">
        <v>11.480346482914994</v>
      </c>
      <c r="O18" s="1">
        <f t="shared" si="0"/>
        <v>15.067280519659674</v>
      </c>
      <c r="P18" s="4">
        <f t="shared" si="1"/>
        <v>2.9702115884279858</v>
      </c>
    </row>
    <row r="19" spans="1:16" x14ac:dyDescent="0.2">
      <c r="A19" s="2" t="s">
        <v>28</v>
      </c>
      <c r="B19">
        <v>2</v>
      </c>
      <c r="C19">
        <v>0</v>
      </c>
      <c r="D19">
        <v>0</v>
      </c>
      <c r="E19">
        <v>0.5</v>
      </c>
      <c r="F19">
        <v>3</v>
      </c>
      <c r="G19">
        <v>0.5</v>
      </c>
      <c r="H19">
        <v>0</v>
      </c>
      <c r="I19">
        <v>6</v>
      </c>
      <c r="J19" s="1">
        <v>44.263602067624397</v>
      </c>
      <c r="L19" s="4">
        <v>13.64097477400302</v>
      </c>
      <c r="M19" s="4">
        <v>12.435711459844388</v>
      </c>
      <c r="N19" s="4">
        <v>14.03114094910811</v>
      </c>
      <c r="O19" s="1">
        <f t="shared" si="0"/>
        <v>13.369275727651839</v>
      </c>
      <c r="P19" s="4">
        <f t="shared" si="1"/>
        <v>0.67907490634646039</v>
      </c>
    </row>
    <row r="20" spans="1:16" x14ac:dyDescent="0.2">
      <c r="A20" s="2" t="s">
        <v>29</v>
      </c>
      <c r="B20">
        <v>2</v>
      </c>
      <c r="C20">
        <v>0</v>
      </c>
      <c r="D20">
        <v>0</v>
      </c>
      <c r="E20">
        <v>0</v>
      </c>
      <c r="F20">
        <v>3</v>
      </c>
      <c r="G20">
        <v>0</v>
      </c>
      <c r="H20">
        <v>0</v>
      </c>
      <c r="I20">
        <v>5</v>
      </c>
      <c r="J20" s="1">
        <v>57.406390616846167</v>
      </c>
      <c r="L20" s="4">
        <v>52.920489641335458</v>
      </c>
      <c r="M20" s="4">
        <v>66.556771726229726</v>
      </c>
      <c r="N20" s="4">
        <v>63.580323454909404</v>
      </c>
      <c r="O20" s="1">
        <f t="shared" si="0"/>
        <v>61.01919494082486</v>
      </c>
      <c r="P20" s="4">
        <f t="shared" si="1"/>
        <v>5.854148484846438</v>
      </c>
    </row>
    <row r="21" spans="1:16" x14ac:dyDescent="0.2">
      <c r="A21" s="2" t="s">
        <v>30</v>
      </c>
      <c r="B21">
        <v>0</v>
      </c>
      <c r="C21">
        <v>0</v>
      </c>
      <c r="D21">
        <v>0.5</v>
      </c>
      <c r="E21">
        <v>3.5</v>
      </c>
      <c r="F21">
        <v>0</v>
      </c>
      <c r="G21">
        <v>0</v>
      </c>
      <c r="H21">
        <v>2</v>
      </c>
      <c r="I21">
        <v>6</v>
      </c>
      <c r="J21" s="1">
        <v>24.23038488042765</v>
      </c>
      <c r="L21" s="4">
        <v>10.313577853423205</v>
      </c>
      <c r="M21" s="4">
        <v>8.7959910325728607</v>
      </c>
      <c r="N21" s="4">
        <v>9.1846314633411872</v>
      </c>
      <c r="O21" s="1">
        <f t="shared" si="0"/>
        <v>9.4314001164457508</v>
      </c>
      <c r="P21" s="4">
        <f t="shared" si="1"/>
        <v>0.64365545432368487</v>
      </c>
    </row>
    <row r="22" spans="1:16" x14ac:dyDescent="0.2">
      <c r="A22" s="2" t="s">
        <v>31</v>
      </c>
      <c r="B22">
        <v>0</v>
      </c>
      <c r="C22">
        <v>0</v>
      </c>
      <c r="D22">
        <v>2</v>
      </c>
      <c r="E22">
        <v>0</v>
      </c>
      <c r="F22">
        <v>0</v>
      </c>
      <c r="G22">
        <v>0.5</v>
      </c>
      <c r="H22">
        <v>0</v>
      </c>
      <c r="I22">
        <v>2.5</v>
      </c>
      <c r="J22" s="1">
        <v>91.320908352434571</v>
      </c>
      <c r="L22" s="4">
        <v>88.223359408462741</v>
      </c>
      <c r="M22" s="4">
        <v>89.265462218119481</v>
      </c>
      <c r="N22" s="4">
        <v>86.473703788992623</v>
      </c>
      <c r="O22" s="1">
        <f t="shared" si="0"/>
        <v>87.987508471858291</v>
      </c>
      <c r="P22" s="4">
        <f t="shared" si="1"/>
        <v>1.1518674778732481</v>
      </c>
    </row>
    <row r="23" spans="1:16" x14ac:dyDescent="0.2">
      <c r="A23" s="2" t="s">
        <v>32</v>
      </c>
      <c r="B23">
        <v>0</v>
      </c>
      <c r="C23">
        <v>0</v>
      </c>
      <c r="D23">
        <v>4.5</v>
      </c>
      <c r="E23">
        <v>0</v>
      </c>
      <c r="F23">
        <v>0</v>
      </c>
      <c r="G23">
        <v>0</v>
      </c>
      <c r="H23">
        <v>0</v>
      </c>
      <c r="I23">
        <v>4.5</v>
      </c>
      <c r="J23" s="1">
        <v>86.446409190518395</v>
      </c>
      <c r="L23" s="4">
        <v>88.872607588088087</v>
      </c>
      <c r="M23" s="4">
        <v>95.199789001714365</v>
      </c>
      <c r="N23" s="4">
        <v>91.894142029652997</v>
      </c>
      <c r="O23" s="1">
        <f t="shared" si="0"/>
        <v>91.98884620648515</v>
      </c>
      <c r="P23" s="4">
        <f t="shared" si="1"/>
        <v>2.5839288975081529</v>
      </c>
    </row>
    <row r="24" spans="1:16" x14ac:dyDescent="0.2">
      <c r="A24" s="2" t="s">
        <v>33</v>
      </c>
      <c r="B24">
        <v>0</v>
      </c>
      <c r="C24">
        <v>0</v>
      </c>
      <c r="D24">
        <v>5</v>
      </c>
      <c r="E24">
        <v>0</v>
      </c>
      <c r="F24">
        <v>0</v>
      </c>
      <c r="G24">
        <v>0</v>
      </c>
      <c r="H24">
        <v>0</v>
      </c>
      <c r="I24">
        <v>5</v>
      </c>
      <c r="J24" s="1">
        <v>84.58698943165632</v>
      </c>
      <c r="L24" s="4">
        <v>92.28116053112106</v>
      </c>
      <c r="M24" s="4">
        <v>91.560068574442838</v>
      </c>
      <c r="N24" s="4">
        <v>96.102952898871635</v>
      </c>
      <c r="O24" s="1">
        <f t="shared" si="0"/>
        <v>93.314727334811849</v>
      </c>
      <c r="P24" s="4">
        <f t="shared" si="1"/>
        <v>1.993430000368529</v>
      </c>
    </row>
    <row r="25" spans="1:16" x14ac:dyDescent="0.2">
      <c r="A25" s="2" t="s">
        <v>34</v>
      </c>
      <c r="B25">
        <v>1.5</v>
      </c>
      <c r="C25">
        <v>0</v>
      </c>
      <c r="D25">
        <v>0</v>
      </c>
      <c r="E25">
        <v>0.5</v>
      </c>
      <c r="F25">
        <v>0.5</v>
      </c>
      <c r="G25">
        <v>0</v>
      </c>
      <c r="H25">
        <v>0</v>
      </c>
      <c r="I25">
        <v>2.5</v>
      </c>
      <c r="J25" s="1">
        <v>86.787284755695254</v>
      </c>
      <c r="L25" s="4">
        <v>92.362316553574232</v>
      </c>
      <c r="M25" s="4">
        <v>84.992746933931159</v>
      </c>
      <c r="N25" s="4">
        <v>85.517155864170192</v>
      </c>
      <c r="O25" s="1">
        <f t="shared" si="0"/>
        <v>87.624073117225194</v>
      </c>
      <c r="P25" s="4">
        <f t="shared" si="1"/>
        <v>3.3572771038553615</v>
      </c>
    </row>
    <row r="26" spans="1:16" x14ac:dyDescent="0.2">
      <c r="A26" s="2" t="s">
        <v>35</v>
      </c>
      <c r="B26">
        <v>0</v>
      </c>
      <c r="C26">
        <v>0</v>
      </c>
      <c r="D26">
        <v>0</v>
      </c>
      <c r="E26">
        <v>0</v>
      </c>
      <c r="F26">
        <v>0.5</v>
      </c>
      <c r="G26">
        <v>0.5</v>
      </c>
      <c r="H26">
        <v>0</v>
      </c>
      <c r="I26">
        <v>1</v>
      </c>
      <c r="J26" s="1">
        <v>89.315285375271145</v>
      </c>
      <c r="L26" s="4">
        <v>93.985437002637568</v>
      </c>
      <c r="M26" s="4">
        <v>93.300804430964007</v>
      </c>
      <c r="N26" s="4">
        <v>94.636246080810594</v>
      </c>
      <c r="O26" s="1">
        <f t="shared" si="0"/>
        <v>93.974162504804056</v>
      </c>
      <c r="P26" s="4">
        <f t="shared" si="1"/>
        <v>0.54525005625082501</v>
      </c>
    </row>
    <row r="27" spans="1:16" x14ac:dyDescent="0.2">
      <c r="A27" s="2" t="s">
        <v>36</v>
      </c>
      <c r="B27">
        <v>0</v>
      </c>
      <c r="C27">
        <v>0.5</v>
      </c>
      <c r="D27">
        <v>0</v>
      </c>
      <c r="E27">
        <v>0</v>
      </c>
      <c r="F27">
        <v>0</v>
      </c>
      <c r="G27">
        <v>1</v>
      </c>
      <c r="H27">
        <v>0</v>
      </c>
      <c r="I27">
        <v>1.5</v>
      </c>
      <c r="J27" s="1">
        <v>86.132089633639836</v>
      </c>
      <c r="L27" s="4">
        <v>94.147749047543897</v>
      </c>
      <c r="M27" s="4">
        <v>92.74693393116182</v>
      </c>
      <c r="N27" s="4">
        <v>92.404300922891608</v>
      </c>
      <c r="O27" s="1">
        <f t="shared" si="0"/>
        <v>93.099661300532432</v>
      </c>
      <c r="P27" s="4">
        <f t="shared" si="1"/>
        <v>0.75419506259576075</v>
      </c>
    </row>
    <row r="28" spans="1:16" x14ac:dyDescent="0.2">
      <c r="A28" s="2" t="s">
        <v>37</v>
      </c>
      <c r="B28">
        <v>0.5</v>
      </c>
      <c r="C28">
        <v>0</v>
      </c>
      <c r="D28">
        <v>3</v>
      </c>
      <c r="E28">
        <v>0</v>
      </c>
      <c r="F28">
        <v>0</v>
      </c>
      <c r="G28">
        <v>0</v>
      </c>
      <c r="H28">
        <v>0</v>
      </c>
      <c r="I28">
        <v>3.5</v>
      </c>
      <c r="J28" s="1">
        <v>90.56548060712646</v>
      </c>
      <c r="L28" s="4">
        <v>97.475145968123712</v>
      </c>
      <c r="M28" s="4">
        <v>100.10549914281947</v>
      </c>
      <c r="N28" s="4">
        <v>87.685331160434345</v>
      </c>
      <c r="O28" s="1">
        <f t="shared" si="0"/>
        <v>95.088658757125856</v>
      </c>
      <c r="P28" s="4">
        <f t="shared" si="1"/>
        <v>5.3439457384881468</v>
      </c>
    </row>
    <row r="29" spans="1:16" x14ac:dyDescent="0.2">
      <c r="A29" s="2" t="s">
        <v>38</v>
      </c>
      <c r="B29">
        <v>0</v>
      </c>
      <c r="C29">
        <v>1</v>
      </c>
      <c r="D29">
        <v>0</v>
      </c>
      <c r="E29">
        <v>1</v>
      </c>
      <c r="F29">
        <v>1</v>
      </c>
      <c r="G29">
        <v>0</v>
      </c>
      <c r="H29">
        <v>0</v>
      </c>
      <c r="I29">
        <v>3</v>
      </c>
      <c r="J29" s="1">
        <v>78.90079227274002</v>
      </c>
      <c r="L29" s="4">
        <v>78.971572848801813</v>
      </c>
      <c r="M29" s="4">
        <v>80.640907292628256</v>
      </c>
      <c r="N29" s="4">
        <v>77.482153295661888</v>
      </c>
      <c r="O29" s="1">
        <f t="shared" si="0"/>
        <v>79.031544479030643</v>
      </c>
      <c r="P29" s="4">
        <f t="shared" si="1"/>
        <v>1.2902529857000862</v>
      </c>
    </row>
    <row r="30" spans="1:16" x14ac:dyDescent="0.2">
      <c r="A30" s="2" t="s">
        <v>39</v>
      </c>
      <c r="B30">
        <v>0.5</v>
      </c>
      <c r="C30">
        <v>0</v>
      </c>
      <c r="D30">
        <v>0</v>
      </c>
      <c r="E30">
        <v>1</v>
      </c>
      <c r="F30">
        <v>0.5</v>
      </c>
      <c r="G30">
        <v>0</v>
      </c>
      <c r="H30">
        <v>0</v>
      </c>
      <c r="I30">
        <v>2</v>
      </c>
      <c r="J30" s="1">
        <v>90.109249684115497</v>
      </c>
      <c r="L30" s="4">
        <v>94.634685182262885</v>
      </c>
      <c r="M30" s="4">
        <v>88.94896478966109</v>
      </c>
      <c r="N30" s="4">
        <v>88.833188670221247</v>
      </c>
      <c r="O30" s="1">
        <f t="shared" si="0"/>
        <v>90.805612880715088</v>
      </c>
      <c r="P30" s="4">
        <f t="shared" si="1"/>
        <v>2.7079755101451246</v>
      </c>
    </row>
    <row r="31" spans="1:16" x14ac:dyDescent="0.2">
      <c r="A31" s="2" t="s">
        <v>40</v>
      </c>
      <c r="B31">
        <v>0</v>
      </c>
      <c r="C31">
        <v>0</v>
      </c>
      <c r="D31">
        <v>0</v>
      </c>
      <c r="E31">
        <v>0</v>
      </c>
      <c r="F31">
        <v>0</v>
      </c>
      <c r="G31">
        <v>1</v>
      </c>
      <c r="H31">
        <v>0</v>
      </c>
      <c r="I31">
        <v>1</v>
      </c>
      <c r="J31" s="1">
        <v>88.741803076625303</v>
      </c>
      <c r="L31" s="4">
        <v>96.663585743592037</v>
      </c>
      <c r="M31" s="4">
        <v>94.171172359224585</v>
      </c>
      <c r="N31" s="4">
        <v>99.227676119958204</v>
      </c>
      <c r="O31" s="1">
        <f t="shared" si="0"/>
        <v>96.687478074258294</v>
      </c>
      <c r="P31" s="4">
        <f t="shared" si="1"/>
        <v>2.0643781473972265</v>
      </c>
    </row>
    <row r="32" spans="1:16" x14ac:dyDescent="0.2">
      <c r="A32" s="2" t="s">
        <v>41</v>
      </c>
      <c r="B32">
        <v>2.5</v>
      </c>
      <c r="C32">
        <v>0</v>
      </c>
      <c r="D32">
        <v>2.5</v>
      </c>
      <c r="E32">
        <v>0</v>
      </c>
      <c r="F32">
        <v>0</v>
      </c>
      <c r="G32">
        <v>0</v>
      </c>
      <c r="H32">
        <v>1</v>
      </c>
      <c r="I32">
        <v>6</v>
      </c>
      <c r="J32" s="1">
        <v>69.702868654977749</v>
      </c>
      <c r="L32" s="4">
        <v>72.884871164814342</v>
      </c>
      <c r="M32" s="4">
        <v>73.203217723855985</v>
      </c>
      <c r="N32" s="4">
        <v>71.296476715143584</v>
      </c>
      <c r="O32" s="1">
        <f t="shared" si="0"/>
        <v>72.461521867937961</v>
      </c>
      <c r="P32" s="4">
        <f t="shared" si="1"/>
        <v>0.83399991564775178</v>
      </c>
    </row>
    <row r="33" spans="1:16" x14ac:dyDescent="0.2">
      <c r="A33" s="2" t="s">
        <v>42</v>
      </c>
      <c r="B33">
        <v>0</v>
      </c>
      <c r="C33">
        <v>0</v>
      </c>
      <c r="D33">
        <v>2</v>
      </c>
      <c r="E33">
        <v>0.5</v>
      </c>
      <c r="F33">
        <v>0</v>
      </c>
      <c r="G33">
        <v>0</v>
      </c>
      <c r="H33">
        <v>0</v>
      </c>
      <c r="I33">
        <v>2.5</v>
      </c>
      <c r="J33" s="1">
        <v>94.885461939832865</v>
      </c>
      <c r="L33" s="4">
        <v>94.391217114903384</v>
      </c>
      <c r="M33" s="4">
        <v>87.129104576025313</v>
      </c>
      <c r="N33" s="4">
        <v>94.636246080810594</v>
      </c>
      <c r="O33" s="1">
        <f t="shared" si="0"/>
        <v>92.05218925724644</v>
      </c>
      <c r="P33" s="4">
        <f t="shared" si="1"/>
        <v>3.4825835125080067</v>
      </c>
    </row>
    <row r="34" spans="1:16" x14ac:dyDescent="0.2">
      <c r="A34" s="2" t="s">
        <v>43</v>
      </c>
      <c r="B34">
        <v>2</v>
      </c>
      <c r="C34">
        <v>0</v>
      </c>
      <c r="D34">
        <v>0</v>
      </c>
      <c r="E34">
        <v>0.5</v>
      </c>
      <c r="F34">
        <v>2</v>
      </c>
      <c r="G34">
        <v>0</v>
      </c>
      <c r="H34">
        <v>1.5</v>
      </c>
      <c r="I34">
        <v>6</v>
      </c>
      <c r="J34" s="1">
        <v>37.219610311380713</v>
      </c>
      <c r="L34" s="4">
        <v>34.254604477107229</v>
      </c>
      <c r="M34" s="4">
        <v>27.152841883159702</v>
      </c>
      <c r="N34" s="4">
        <v>33.225869307211312</v>
      </c>
      <c r="O34" s="1">
        <f t="shared" si="0"/>
        <v>31.54443855582608</v>
      </c>
      <c r="P34" s="4">
        <f t="shared" si="1"/>
        <v>3.1335991036906217</v>
      </c>
    </row>
    <row r="35" spans="1:16" x14ac:dyDescent="0.2">
      <c r="A35" s="2" t="s">
        <v>44</v>
      </c>
      <c r="B35">
        <v>0</v>
      </c>
      <c r="C35">
        <v>0</v>
      </c>
      <c r="D35">
        <v>0.5</v>
      </c>
      <c r="E35">
        <v>2</v>
      </c>
      <c r="F35">
        <v>0</v>
      </c>
      <c r="G35">
        <v>0</v>
      </c>
      <c r="H35">
        <v>0</v>
      </c>
      <c r="I35">
        <v>2.5</v>
      </c>
      <c r="J35" s="1">
        <v>97.313445013232723</v>
      </c>
      <c r="L35" s="4">
        <v>91.7130683739489</v>
      </c>
      <c r="M35" s="4">
        <v>91.639192931557432</v>
      </c>
      <c r="N35" s="4">
        <v>90.682514658211261</v>
      </c>
      <c r="O35" s="1">
        <f t="shared" si="0"/>
        <v>91.344925321239202</v>
      </c>
      <c r="P35" s="4">
        <f t="shared" si="1"/>
        <v>0.46936503925833445</v>
      </c>
    </row>
    <row r="36" spans="1:16" x14ac:dyDescent="0.2">
      <c r="A36" s="2" t="s">
        <v>45</v>
      </c>
      <c r="B36">
        <v>1.5</v>
      </c>
      <c r="C36">
        <v>0.5</v>
      </c>
      <c r="D36">
        <v>0</v>
      </c>
      <c r="E36">
        <v>0</v>
      </c>
      <c r="F36">
        <v>2</v>
      </c>
      <c r="G36">
        <v>0</v>
      </c>
      <c r="H36">
        <v>2</v>
      </c>
      <c r="I36">
        <v>6</v>
      </c>
      <c r="J36" s="1">
        <v>24.001403751002378</v>
      </c>
      <c r="L36" s="4">
        <v>24.434725760274123</v>
      </c>
      <c r="M36" s="4">
        <v>26.361598312013715</v>
      </c>
      <c r="N36" s="4">
        <v>30.802614564327854</v>
      </c>
      <c r="O36" s="1">
        <f t="shared" si="0"/>
        <v>27.199646212205227</v>
      </c>
      <c r="P36" s="4">
        <f t="shared" si="1"/>
        <v>2.666363962085168</v>
      </c>
    </row>
    <row r="37" spans="1:16" x14ac:dyDescent="0.2">
      <c r="A37" s="2" t="s">
        <v>46</v>
      </c>
      <c r="B37">
        <v>0</v>
      </c>
      <c r="C37">
        <v>0</v>
      </c>
      <c r="D37">
        <v>4.5</v>
      </c>
      <c r="E37">
        <v>0</v>
      </c>
      <c r="F37">
        <v>0</v>
      </c>
      <c r="G37">
        <v>1</v>
      </c>
      <c r="H37">
        <v>0.5</v>
      </c>
      <c r="I37">
        <v>6</v>
      </c>
      <c r="J37" s="1">
        <v>61.871011501715792</v>
      </c>
      <c r="L37" s="4">
        <v>78.890416826348627</v>
      </c>
      <c r="M37" s="4">
        <v>81.036529078201241</v>
      </c>
      <c r="N37" s="4">
        <v>67.215205569234584</v>
      </c>
      <c r="O37" s="1">
        <f t="shared" si="0"/>
        <v>75.714050491261489</v>
      </c>
      <c r="P37" s="4">
        <f t="shared" si="1"/>
        <v>6.0731223823161891</v>
      </c>
    </row>
    <row r="38" spans="1:16" x14ac:dyDescent="0.2">
      <c r="A38" s="2" t="s">
        <v>47</v>
      </c>
      <c r="B38">
        <v>1</v>
      </c>
      <c r="C38">
        <v>0</v>
      </c>
      <c r="D38">
        <v>4.5</v>
      </c>
      <c r="E38">
        <v>0</v>
      </c>
      <c r="F38">
        <v>0</v>
      </c>
      <c r="G38">
        <v>0</v>
      </c>
      <c r="H38">
        <v>0.5</v>
      </c>
      <c r="I38">
        <v>6</v>
      </c>
      <c r="J38" s="1">
        <v>80.437406475853564</v>
      </c>
      <c r="L38" s="4">
        <v>85.707522712414601</v>
      </c>
      <c r="M38" s="4">
        <v>81.43215086377424</v>
      </c>
      <c r="N38" s="4">
        <v>83.859139461144693</v>
      </c>
      <c r="O38" s="1">
        <f t="shared" si="0"/>
        <v>83.666271012444511</v>
      </c>
      <c r="P38" s="4">
        <f t="shared" si="1"/>
        <v>1.7507331397473909</v>
      </c>
    </row>
    <row r="39" spans="1:16" x14ac:dyDescent="0.2">
      <c r="A39" s="2" t="s">
        <v>48</v>
      </c>
      <c r="B39">
        <v>0</v>
      </c>
      <c r="C39">
        <v>0</v>
      </c>
      <c r="D39">
        <v>0</v>
      </c>
      <c r="E39">
        <v>0</v>
      </c>
      <c r="F39">
        <v>0</v>
      </c>
      <c r="G39">
        <v>0.5</v>
      </c>
      <c r="H39">
        <v>0.5</v>
      </c>
      <c r="I39">
        <v>1</v>
      </c>
      <c r="J39" s="1">
        <v>80.402018881193641</v>
      </c>
      <c r="L39" s="4">
        <v>91.7130683739489</v>
      </c>
      <c r="M39" s="4">
        <v>90.135830146380059</v>
      </c>
      <c r="N39" s="4">
        <v>92.723150231165747</v>
      </c>
      <c r="O39" s="1">
        <f t="shared" si="0"/>
        <v>91.524016250498235</v>
      </c>
      <c r="P39" s="4">
        <f t="shared" si="1"/>
        <v>1.0646945835370689</v>
      </c>
    </row>
    <row r="40" spans="1:16" x14ac:dyDescent="0.2">
      <c r="A40" s="2" t="s">
        <v>49</v>
      </c>
      <c r="B40">
        <v>0</v>
      </c>
      <c r="C40">
        <v>0</v>
      </c>
      <c r="D40">
        <v>5</v>
      </c>
      <c r="E40">
        <v>0</v>
      </c>
      <c r="F40">
        <v>0</v>
      </c>
      <c r="G40">
        <v>0.5</v>
      </c>
      <c r="H40">
        <v>0.5</v>
      </c>
      <c r="I40">
        <v>6</v>
      </c>
      <c r="J40" s="1">
        <v>72.701010844325083</v>
      </c>
      <c r="L40" s="4">
        <v>78.24116864672331</v>
      </c>
      <c r="M40" s="4">
        <v>85.863114862191736</v>
      </c>
      <c r="N40" s="4">
        <v>85.198306555896067</v>
      </c>
      <c r="O40" s="1">
        <f t="shared" si="0"/>
        <v>83.100863354937033</v>
      </c>
      <c r="P40" s="4">
        <f t="shared" si="1"/>
        <v>3.4470245153185197</v>
      </c>
    </row>
    <row r="41" spans="1:16" x14ac:dyDescent="0.2">
      <c r="A41" s="2" t="s">
        <v>50</v>
      </c>
      <c r="B41">
        <v>1.5</v>
      </c>
      <c r="C41">
        <v>0.5</v>
      </c>
      <c r="D41">
        <v>2</v>
      </c>
      <c r="E41">
        <v>0</v>
      </c>
      <c r="F41">
        <v>0</v>
      </c>
      <c r="G41">
        <v>0</v>
      </c>
      <c r="H41">
        <v>2</v>
      </c>
      <c r="I41">
        <v>6</v>
      </c>
      <c r="J41" s="1">
        <v>37.313371814019078</v>
      </c>
      <c r="L41" s="4">
        <v>61.279559954011575</v>
      </c>
      <c r="M41" s="4">
        <v>50.573651589080839</v>
      </c>
      <c r="N41" s="4">
        <v>53.249605866827281</v>
      </c>
      <c r="O41" s="1">
        <f t="shared" si="0"/>
        <v>55.034272469973224</v>
      </c>
      <c r="P41" s="4">
        <f>_xlfn.STDEV.P(L41:N41)</f>
        <v>4.5492046662291674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Dan Emerson</cp:lastModifiedBy>
  <dcterms:created xsi:type="dcterms:W3CDTF">2025-06-18T20:42:50Z</dcterms:created>
  <dcterms:modified xsi:type="dcterms:W3CDTF">2025-06-23T10:16:39Z</dcterms:modified>
</cp:coreProperties>
</file>