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danemerson/Documents/CMU/01_Research/Projects/CPA/Bayesian Optimization/cpa-bayesian-opt/results/"/>
    </mc:Choice>
  </mc:AlternateContent>
  <xr:revisionPtr revIDLastSave="0" documentId="8_{F4E51C46-CF3E-8A49-8FD6-FFFD2CAD1EA9}" xr6:coauthVersionLast="47" xr6:coauthVersionMax="47" xr10:uidLastSave="{00000000-0000-0000-0000-000000000000}"/>
  <bookViews>
    <workbookView xWindow="0" yWindow="500" windowWidth="35840" windowHeight="19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1" i="1" l="1"/>
  <c r="O41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P9" i="1"/>
  <c r="O9" i="1"/>
  <c r="P8" i="1"/>
  <c r="O8" i="1"/>
  <c r="P7" i="1"/>
  <c r="O7" i="1"/>
  <c r="P6" i="1"/>
  <c r="O6" i="1"/>
  <c r="P5" i="1"/>
  <c r="O5" i="1"/>
  <c r="P4" i="1"/>
  <c r="O4" i="1"/>
  <c r="P3" i="1"/>
  <c r="O3" i="1"/>
  <c r="P2" i="1"/>
  <c r="O2" i="1"/>
</calcChain>
</file>

<file path=xl/sharedStrings.xml><?xml version="1.0" encoding="utf-8"?>
<sst xmlns="http://schemas.openxmlformats.org/spreadsheetml/2006/main" count="55" uniqueCount="55">
  <si>
    <t>Index</t>
  </si>
  <si>
    <t>Glycerol</t>
  </si>
  <si>
    <t>DMSO</t>
  </si>
  <si>
    <t>EG</t>
  </si>
  <si>
    <t>12PD</t>
  </si>
  <si>
    <t>13PD</t>
  </si>
  <si>
    <t>3M12PD</t>
  </si>
  <si>
    <t>Urea</t>
  </si>
  <si>
    <t>Total Molarity</t>
  </si>
  <si>
    <t>Predicted Viability</t>
  </si>
  <si>
    <t>Random 1</t>
  </si>
  <si>
    <t>Random 2</t>
  </si>
  <si>
    <t>Random 3</t>
  </si>
  <si>
    <t>Random 4</t>
  </si>
  <si>
    <t>Random 5</t>
  </si>
  <si>
    <t>Random 6</t>
  </si>
  <si>
    <t>Random 7</t>
  </si>
  <si>
    <t>Random 8</t>
  </si>
  <si>
    <t>Random 9</t>
  </si>
  <si>
    <t>Random 10</t>
  </si>
  <si>
    <t>LogNParEGO 1</t>
  </si>
  <si>
    <t>LogNParEGO 2</t>
  </si>
  <si>
    <t>LogNParEGO 3</t>
  </si>
  <si>
    <t>LogNParEGO 4</t>
  </si>
  <si>
    <t>LogNParEGO 5</t>
  </si>
  <si>
    <t>LogNParEGO 6</t>
  </si>
  <si>
    <t>LogNParEGO 7</t>
  </si>
  <si>
    <t>LogNParEGO 8</t>
  </si>
  <si>
    <t>LogNParEGO 9</t>
  </si>
  <si>
    <t>LogNParEGO 10</t>
  </si>
  <si>
    <t>LogNEHVI 1</t>
  </si>
  <si>
    <t>LogNEHVI 2</t>
  </si>
  <si>
    <t>LogNEHVI 3</t>
  </si>
  <si>
    <t>LogNEHVI 4</t>
  </si>
  <si>
    <t>LogNEHVI 5</t>
  </si>
  <si>
    <t>LogNEHVI 6</t>
  </si>
  <si>
    <t>LogNEHVI 7</t>
  </si>
  <si>
    <t>LogNEHVI 8</t>
  </si>
  <si>
    <t>LogNEHVI 9</t>
  </si>
  <si>
    <t>LogNEHVI 10</t>
  </si>
  <si>
    <t>VarLogNEHVI 1</t>
  </si>
  <si>
    <t>VarLogNEHVI 2</t>
  </si>
  <si>
    <t>VarLogNEHVI 3</t>
  </si>
  <si>
    <t>VarLogNEHVI 4</t>
  </si>
  <si>
    <t>VarLogNEHVI 5</t>
  </si>
  <si>
    <t>VarLogNEHVI 6</t>
  </si>
  <si>
    <t>VarLogNEHVI 7</t>
  </si>
  <si>
    <t>VarLogNEHVI 8</t>
  </si>
  <si>
    <t>VarLogNEHVI 9</t>
  </si>
  <si>
    <t>VarLogNEHVI 10</t>
  </si>
  <si>
    <t>n1</t>
  </si>
  <si>
    <t>n2</t>
  </si>
  <si>
    <t>n3</t>
  </si>
  <si>
    <t>SD</t>
  </si>
  <si>
    <t>Experimental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</si>
</sst>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abSelected="1" zoomScale="125" workbookViewId="0">
      <selection activeCell="S7" sqref="S7"/>
    </sheetView>
  </sheetViews>
  <sheetFormatPr baseColWidth="10" defaultColWidth="8.83203125" defaultRowHeight="15" x14ac:dyDescent="0.2"/>
  <cols>
    <col min="1" max="1" width="20.5" customWidth="1"/>
    <col min="9" max="9" width="12" bestFit="1" customWidth="1"/>
    <col min="10" max="10" width="15.6640625" bestFit="1" customWidth="1"/>
    <col min="11" max="11" width="17" customWidth="1"/>
    <col min="15" max="15" width="17.664062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 t="s">
        <v>50</v>
      </c>
      <c r="M1" s="2" t="s">
        <v>51</v>
      </c>
      <c r="N1" s="2" t="s">
        <v>52</v>
      </c>
      <c r="O1" t="s">
        <v>54</v>
      </c>
      <c r="P1" t="s">
        <v>53</v>
      </c>
    </row>
    <row r="2" spans="1:16" x14ac:dyDescent="0.2">
      <c r="A2" s="1" t="s">
        <v>10</v>
      </c>
      <c r="B2" s="2">
        <v>1</v>
      </c>
      <c r="C2" s="2">
        <v>0</v>
      </c>
      <c r="D2" s="2">
        <v>1</v>
      </c>
      <c r="E2" s="2">
        <v>2</v>
      </c>
      <c r="F2" s="2">
        <v>0</v>
      </c>
      <c r="G2" s="2">
        <v>0</v>
      </c>
      <c r="H2" s="2">
        <v>2</v>
      </c>
      <c r="I2" s="2">
        <v>6</v>
      </c>
      <c r="J2" s="3">
        <v>33.306486080915008</v>
      </c>
      <c r="K2" s="2"/>
      <c r="L2" s="2">
        <v>34.022461430847549</v>
      </c>
      <c r="M2" s="2">
        <v>32.178485001479835</v>
      </c>
      <c r="N2" s="2">
        <v>27.878490935815773</v>
      </c>
      <c r="O2" s="3">
        <f t="shared" ref="O2:O41" si="0">AVERAGE(L2:N2)</f>
        <v>31.35981245604772</v>
      </c>
      <c r="P2" s="2">
        <f t="shared" ref="P2:P41" si="1">_xlfn.STDEV.P(L2:N2)</f>
        <v>2.574200447185945</v>
      </c>
    </row>
    <row r="3" spans="1:16" x14ac:dyDescent="0.2">
      <c r="A3" s="1" t="s">
        <v>11</v>
      </c>
      <c r="B3" s="2">
        <v>0</v>
      </c>
      <c r="C3" s="2">
        <v>1</v>
      </c>
      <c r="D3" s="2">
        <v>0.5</v>
      </c>
      <c r="E3" s="2">
        <v>0</v>
      </c>
      <c r="F3" s="2">
        <v>1.5</v>
      </c>
      <c r="G3" s="2">
        <v>0</v>
      </c>
      <c r="H3" s="2">
        <v>0</v>
      </c>
      <c r="I3" s="2">
        <v>3</v>
      </c>
      <c r="J3" s="3">
        <v>71.334029654704693</v>
      </c>
      <c r="K3" s="2"/>
      <c r="L3" s="2">
        <v>53.468309174989308</v>
      </c>
      <c r="M3" s="2">
        <v>63.202701996901055</v>
      </c>
      <c r="N3" s="2">
        <v>72.765209751811994</v>
      </c>
      <c r="O3" s="3">
        <f t="shared" si="0"/>
        <v>63.145406974567457</v>
      </c>
      <c r="P3" s="2">
        <f t="shared" si="1"/>
        <v>7.8780308456548056</v>
      </c>
    </row>
    <row r="4" spans="1:16" x14ac:dyDescent="0.2">
      <c r="A4" s="1" t="s">
        <v>12</v>
      </c>
      <c r="B4" s="2">
        <v>1</v>
      </c>
      <c r="C4" s="2">
        <v>0.5</v>
      </c>
      <c r="D4" s="2">
        <v>0</v>
      </c>
      <c r="E4" s="2">
        <v>1.5</v>
      </c>
      <c r="F4" s="2">
        <v>1</v>
      </c>
      <c r="G4" s="2">
        <v>1.5</v>
      </c>
      <c r="H4" s="2">
        <v>0</v>
      </c>
      <c r="I4" s="2">
        <v>5.5</v>
      </c>
      <c r="J4" s="3">
        <v>27.730353340217849</v>
      </c>
      <c r="K4" s="2"/>
      <c r="L4" s="2">
        <v>24.649283021800802</v>
      </c>
      <c r="M4" s="2">
        <v>22.401156008983445</v>
      </c>
      <c r="N4" s="2">
        <v>20.275726908716145</v>
      </c>
      <c r="O4" s="3">
        <f t="shared" si="0"/>
        <v>22.442055313166794</v>
      </c>
      <c r="P4" s="2">
        <f t="shared" si="1"/>
        <v>1.7857310050111233</v>
      </c>
    </row>
    <row r="5" spans="1:16" x14ac:dyDescent="0.2">
      <c r="A5" s="1" t="s">
        <v>13</v>
      </c>
      <c r="B5" s="2">
        <v>0.5</v>
      </c>
      <c r="C5" s="2">
        <v>0.5</v>
      </c>
      <c r="D5" s="2">
        <v>3</v>
      </c>
      <c r="E5" s="2">
        <v>0.5</v>
      </c>
      <c r="F5" s="2">
        <v>0</v>
      </c>
      <c r="G5" s="2">
        <v>1</v>
      </c>
      <c r="H5" s="2">
        <v>0.5</v>
      </c>
      <c r="I5" s="2">
        <v>6</v>
      </c>
      <c r="J5" s="3">
        <v>42.241038556679953</v>
      </c>
      <c r="K5" s="2"/>
      <c r="L5" s="2">
        <v>45.98375626627287</v>
      </c>
      <c r="M5" s="2">
        <v>35.437594665645292</v>
      </c>
      <c r="N5" s="2">
        <v>45.516903478686913</v>
      </c>
      <c r="O5" s="3">
        <f t="shared" si="0"/>
        <v>42.312751470201697</v>
      </c>
      <c r="P5" s="2">
        <f t="shared" si="1"/>
        <v>4.8652045997914302</v>
      </c>
    </row>
    <row r="6" spans="1:16" x14ac:dyDescent="0.2">
      <c r="A6" s="1" t="s">
        <v>14</v>
      </c>
      <c r="B6" s="2">
        <v>1</v>
      </c>
      <c r="C6" s="2">
        <v>3</v>
      </c>
      <c r="D6" s="2">
        <v>0</v>
      </c>
      <c r="E6" s="2">
        <v>0</v>
      </c>
      <c r="F6" s="2">
        <v>0</v>
      </c>
      <c r="G6" s="2">
        <v>1</v>
      </c>
      <c r="H6" s="2">
        <v>0</v>
      </c>
      <c r="I6" s="2">
        <v>5</v>
      </c>
      <c r="J6" s="3">
        <v>30.744471300585388</v>
      </c>
      <c r="K6" s="2"/>
      <c r="L6" s="2">
        <v>51.999378230287952</v>
      </c>
      <c r="M6" s="2">
        <v>11.558348857048346</v>
      </c>
      <c r="N6" s="2">
        <v>18.08613086891145</v>
      </c>
      <c r="O6" s="3">
        <f t="shared" si="0"/>
        <v>27.214619318749246</v>
      </c>
      <c r="P6" s="2">
        <f t="shared" si="1"/>
        <v>17.726932244956615</v>
      </c>
    </row>
    <row r="7" spans="1:16" x14ac:dyDescent="0.2">
      <c r="A7" s="1" t="s">
        <v>15</v>
      </c>
      <c r="B7" s="2">
        <v>0</v>
      </c>
      <c r="C7" s="2">
        <v>3.5</v>
      </c>
      <c r="D7" s="2">
        <v>0</v>
      </c>
      <c r="E7" s="2">
        <v>0.5</v>
      </c>
      <c r="F7" s="2">
        <v>0</v>
      </c>
      <c r="G7" s="2">
        <v>1.5</v>
      </c>
      <c r="H7" s="2">
        <v>0</v>
      </c>
      <c r="I7" s="2">
        <v>5.5</v>
      </c>
      <c r="J7" s="3">
        <v>32.150521834129471</v>
      </c>
      <c r="K7" s="2"/>
      <c r="L7" s="2">
        <v>31.43434500446897</v>
      </c>
      <c r="M7" s="2">
        <v>23.215933425024804</v>
      </c>
      <c r="N7" s="2">
        <v>25.871361232661471</v>
      </c>
      <c r="O7" s="3">
        <f t="shared" si="0"/>
        <v>26.840546554051752</v>
      </c>
      <c r="P7" s="2">
        <f t="shared" si="1"/>
        <v>3.4244281627432942</v>
      </c>
    </row>
    <row r="8" spans="1:16" x14ac:dyDescent="0.2">
      <c r="A8" s="1" t="s">
        <v>16</v>
      </c>
      <c r="B8" s="2">
        <v>0.5</v>
      </c>
      <c r="C8" s="2">
        <v>0.5</v>
      </c>
      <c r="D8" s="2">
        <v>1</v>
      </c>
      <c r="E8" s="2">
        <v>0.5</v>
      </c>
      <c r="F8" s="2">
        <v>2</v>
      </c>
      <c r="G8" s="2">
        <v>0.5</v>
      </c>
      <c r="H8" s="2">
        <v>0</v>
      </c>
      <c r="I8" s="2">
        <v>5</v>
      </c>
      <c r="J8" s="3">
        <v>51.659385262804861</v>
      </c>
      <c r="K8" s="2"/>
      <c r="L8" s="2">
        <v>43.885283488128081</v>
      </c>
      <c r="M8" s="2">
        <v>41.141036577934848</v>
      </c>
      <c r="N8" s="2">
        <v>43.753062224399805</v>
      </c>
      <c r="O8" s="3">
        <f t="shared" si="0"/>
        <v>42.926460763487576</v>
      </c>
      <c r="P8" s="2">
        <f t="shared" si="1"/>
        <v>1.2636389931234178</v>
      </c>
    </row>
    <row r="9" spans="1:16" x14ac:dyDescent="0.2">
      <c r="A9" s="1" t="s">
        <v>17</v>
      </c>
      <c r="B9" s="2">
        <v>0.5</v>
      </c>
      <c r="C9" s="2">
        <v>0</v>
      </c>
      <c r="D9" s="2">
        <v>0</v>
      </c>
      <c r="E9" s="2">
        <v>2</v>
      </c>
      <c r="F9" s="2">
        <v>0.5</v>
      </c>
      <c r="G9" s="2">
        <v>0.5</v>
      </c>
      <c r="H9" s="2">
        <v>2.5</v>
      </c>
      <c r="I9" s="2">
        <v>6</v>
      </c>
      <c r="J9" s="3">
        <v>18.40396773401589</v>
      </c>
      <c r="K9" s="2"/>
      <c r="L9" s="2">
        <v>21.221777484164303</v>
      </c>
      <c r="M9" s="2">
        <v>14.253381848569786</v>
      </c>
      <c r="N9" s="2">
        <v>9.0236361486086931</v>
      </c>
      <c r="O9" s="3">
        <f t="shared" si="0"/>
        <v>14.83293182711426</v>
      </c>
      <c r="P9" s="2">
        <f t="shared" si="1"/>
        <v>4.9967036896852193</v>
      </c>
    </row>
    <row r="10" spans="1:16" x14ac:dyDescent="0.2">
      <c r="A10" s="1" t="s">
        <v>18</v>
      </c>
      <c r="B10" s="2">
        <v>0.5</v>
      </c>
      <c r="C10" s="2">
        <v>2</v>
      </c>
      <c r="D10" s="2">
        <v>0.5</v>
      </c>
      <c r="E10" s="2">
        <v>0</v>
      </c>
      <c r="F10" s="2">
        <v>1.5</v>
      </c>
      <c r="G10" s="2">
        <v>0</v>
      </c>
      <c r="H10" s="2">
        <v>0</v>
      </c>
      <c r="I10" s="2">
        <v>4.5</v>
      </c>
      <c r="J10" s="3">
        <v>43.889958193747731</v>
      </c>
      <c r="K10" s="2"/>
      <c r="L10" s="2">
        <v>63.680876695293968</v>
      </c>
      <c r="M10" s="2">
        <v>27.728546806176986</v>
      </c>
      <c r="N10" s="2">
        <v>35.907009748432984</v>
      </c>
      <c r="O10" s="3">
        <f t="shared" si="0"/>
        <v>42.43881108330131</v>
      </c>
      <c r="P10" s="2">
        <f t="shared" si="1"/>
        <v>15.387025435359806</v>
      </c>
    </row>
    <row r="11" spans="1:16" x14ac:dyDescent="0.2">
      <c r="A11" s="1" t="s">
        <v>19</v>
      </c>
      <c r="B11" s="2">
        <v>0</v>
      </c>
      <c r="C11" s="2">
        <v>0</v>
      </c>
      <c r="D11" s="2">
        <v>0</v>
      </c>
      <c r="E11" s="2">
        <v>1.5</v>
      </c>
      <c r="F11" s="2">
        <v>0.5</v>
      </c>
      <c r="G11" s="2">
        <v>2.5</v>
      </c>
      <c r="H11" s="2">
        <v>0</v>
      </c>
      <c r="I11" s="2">
        <v>4.5</v>
      </c>
      <c r="J11" s="3">
        <v>31.856172704379151</v>
      </c>
      <c r="K11" s="2"/>
      <c r="L11" s="2">
        <v>37.100221505459906</v>
      </c>
      <c r="M11" s="2">
        <v>34.936193178850608</v>
      </c>
      <c r="N11" s="2">
        <v>21.61381337748568</v>
      </c>
      <c r="O11" s="3">
        <f t="shared" si="0"/>
        <v>31.216742687265398</v>
      </c>
      <c r="P11" s="2">
        <f t="shared" si="1"/>
        <v>6.8475272006791492</v>
      </c>
    </row>
    <row r="12" spans="1:16" x14ac:dyDescent="0.2">
      <c r="A12" s="1" t="s">
        <v>20</v>
      </c>
      <c r="B12" s="2">
        <v>1.5</v>
      </c>
      <c r="C12" s="2">
        <v>0</v>
      </c>
      <c r="D12" s="2">
        <v>1.5</v>
      </c>
      <c r="E12" s="2">
        <v>0.5</v>
      </c>
      <c r="F12" s="2">
        <v>2.5</v>
      </c>
      <c r="G12" s="2">
        <v>0</v>
      </c>
      <c r="H12" s="2">
        <v>0</v>
      </c>
      <c r="I12" s="2">
        <v>6</v>
      </c>
      <c r="J12" s="3">
        <v>55.097443249294791</v>
      </c>
      <c r="K12" s="2"/>
      <c r="L12" s="2">
        <v>58.85438930556095</v>
      </c>
      <c r="M12" s="2">
        <v>42.519890666620242</v>
      </c>
      <c r="N12" s="2">
        <v>32.318505127641956</v>
      </c>
      <c r="O12" s="3">
        <f t="shared" si="0"/>
        <v>44.564261699941049</v>
      </c>
      <c r="P12" s="2">
        <f t="shared" si="1"/>
        <v>10.929253617925129</v>
      </c>
    </row>
    <row r="13" spans="1:16" x14ac:dyDescent="0.2">
      <c r="A13" s="1" t="s">
        <v>21</v>
      </c>
      <c r="B13" s="2">
        <v>1</v>
      </c>
      <c r="C13" s="2">
        <v>0</v>
      </c>
      <c r="D13" s="2">
        <v>3</v>
      </c>
      <c r="E13" s="2">
        <v>0.5</v>
      </c>
      <c r="F13" s="2">
        <v>0</v>
      </c>
      <c r="G13" s="2">
        <v>1.5</v>
      </c>
      <c r="H13" s="2">
        <v>0</v>
      </c>
      <c r="I13" s="2">
        <v>6</v>
      </c>
      <c r="J13" s="3">
        <v>43.26317682688984</v>
      </c>
      <c r="K13" s="2"/>
      <c r="L13" s="2">
        <v>45.284265340224607</v>
      </c>
      <c r="M13" s="2">
        <v>32.617211302425176</v>
      </c>
      <c r="N13" s="2">
        <v>20.762303806450522</v>
      </c>
      <c r="O13" s="3">
        <f t="shared" si="0"/>
        <v>32.887926816366765</v>
      </c>
      <c r="P13" s="2">
        <f t="shared" si="1"/>
        <v>10.01287885785403</v>
      </c>
    </row>
    <row r="14" spans="1:16" x14ac:dyDescent="0.2">
      <c r="A14" s="1" t="s">
        <v>22</v>
      </c>
      <c r="B14" s="2">
        <v>2.5</v>
      </c>
      <c r="C14" s="2">
        <v>0.5</v>
      </c>
      <c r="D14" s="2">
        <v>2</v>
      </c>
      <c r="E14" s="2">
        <v>0.5</v>
      </c>
      <c r="F14" s="2">
        <v>0.5</v>
      </c>
      <c r="G14" s="2">
        <v>0</v>
      </c>
      <c r="H14" s="2">
        <v>0</v>
      </c>
      <c r="I14" s="2">
        <v>6</v>
      </c>
      <c r="J14" s="3">
        <v>56.583789430775433</v>
      </c>
      <c r="K14" s="2"/>
      <c r="L14" s="2">
        <v>56.546069249601679</v>
      </c>
      <c r="M14" s="2">
        <v>54.866902278939399</v>
      </c>
      <c r="N14" s="2">
        <v>57.620503809829529</v>
      </c>
      <c r="O14" s="3">
        <f t="shared" si="0"/>
        <v>56.344491779456867</v>
      </c>
      <c r="P14" s="2">
        <f t="shared" si="1"/>
        <v>1.1331535509607993</v>
      </c>
    </row>
    <row r="15" spans="1:16" x14ac:dyDescent="0.2">
      <c r="A15" s="1" t="s">
        <v>23</v>
      </c>
      <c r="B15" s="2">
        <v>0</v>
      </c>
      <c r="C15" s="2">
        <v>0.5</v>
      </c>
      <c r="D15" s="2">
        <v>5</v>
      </c>
      <c r="E15" s="2">
        <v>0.5</v>
      </c>
      <c r="F15" s="2">
        <v>0</v>
      </c>
      <c r="G15" s="2">
        <v>0</v>
      </c>
      <c r="H15" s="2">
        <v>0</v>
      </c>
      <c r="I15" s="2">
        <v>6</v>
      </c>
      <c r="J15" s="3">
        <v>61.928822070994407</v>
      </c>
      <c r="K15" s="2"/>
      <c r="L15" s="2">
        <v>87.253720903120509</v>
      </c>
      <c r="M15" s="2">
        <v>82.31863368094848</v>
      </c>
      <c r="N15" s="2">
        <v>82.800858267583507</v>
      </c>
      <c r="O15" s="3">
        <f t="shared" si="0"/>
        <v>84.124404283884175</v>
      </c>
      <c r="P15" s="2">
        <f t="shared" si="1"/>
        <v>2.2215012965050485</v>
      </c>
    </row>
    <row r="16" spans="1:16" x14ac:dyDescent="0.2">
      <c r="A16" s="1" t="s">
        <v>24</v>
      </c>
      <c r="B16" s="2">
        <v>3.5</v>
      </c>
      <c r="C16" s="2">
        <v>0</v>
      </c>
      <c r="D16" s="2">
        <v>1.5</v>
      </c>
      <c r="E16" s="2">
        <v>0</v>
      </c>
      <c r="F16" s="2">
        <v>1</v>
      </c>
      <c r="G16" s="2">
        <v>0</v>
      </c>
      <c r="H16" s="2">
        <v>0</v>
      </c>
      <c r="I16" s="2">
        <v>6</v>
      </c>
      <c r="J16" s="3">
        <v>66.448180580767826</v>
      </c>
      <c r="K16" s="2"/>
      <c r="L16" s="2">
        <v>39.758287024443312</v>
      </c>
      <c r="M16" s="2">
        <v>46.719128118525738</v>
      </c>
      <c r="N16" s="2">
        <v>54.518576086772875</v>
      </c>
      <c r="O16" s="3">
        <f t="shared" si="0"/>
        <v>46.998663743247306</v>
      </c>
      <c r="P16" s="2">
        <f t="shared" si="1"/>
        <v>6.0291037711530251</v>
      </c>
    </row>
    <row r="17" spans="1:16" x14ac:dyDescent="0.2">
      <c r="A17" s="1" t="s">
        <v>25</v>
      </c>
      <c r="B17" s="2">
        <v>3</v>
      </c>
      <c r="C17" s="2">
        <v>0.5</v>
      </c>
      <c r="D17" s="2">
        <v>1.5</v>
      </c>
      <c r="E17" s="2">
        <v>0</v>
      </c>
      <c r="F17" s="2">
        <v>0.5</v>
      </c>
      <c r="G17" s="2">
        <v>0.5</v>
      </c>
      <c r="H17" s="2">
        <v>0</v>
      </c>
      <c r="I17" s="2">
        <v>6</v>
      </c>
      <c r="J17" s="3">
        <v>57.016297278531013</v>
      </c>
      <c r="K17" s="2"/>
      <c r="L17" s="2">
        <v>35.001748727315118</v>
      </c>
      <c r="M17" s="2">
        <v>37.129824683577361</v>
      </c>
      <c r="N17" s="2">
        <v>41.076889286860734</v>
      </c>
      <c r="O17" s="3">
        <f t="shared" si="0"/>
        <v>37.736154232584404</v>
      </c>
      <c r="P17" s="2">
        <f t="shared" si="1"/>
        <v>2.5169505154794454</v>
      </c>
    </row>
    <row r="18" spans="1:16" x14ac:dyDescent="0.2">
      <c r="A18" s="1" t="s">
        <v>26</v>
      </c>
      <c r="B18" s="2">
        <v>0.5</v>
      </c>
      <c r="C18" s="2">
        <v>0.5</v>
      </c>
      <c r="D18" s="2">
        <v>4</v>
      </c>
      <c r="E18" s="2">
        <v>1</v>
      </c>
      <c r="F18" s="2">
        <v>0</v>
      </c>
      <c r="G18" s="2">
        <v>0</v>
      </c>
      <c r="H18" s="2">
        <v>0</v>
      </c>
      <c r="I18" s="2">
        <v>6</v>
      </c>
      <c r="J18" s="3">
        <v>55.199236538441383</v>
      </c>
      <c r="K18" s="2"/>
      <c r="L18" s="2">
        <v>58.224847472117503</v>
      </c>
      <c r="M18" s="2">
        <v>61.57314716481833</v>
      </c>
      <c r="N18" s="2">
        <v>54.336109750122482</v>
      </c>
      <c r="O18" s="3">
        <f t="shared" si="0"/>
        <v>58.044701462352776</v>
      </c>
      <c r="P18" s="2">
        <f t="shared" si="1"/>
        <v>2.9572529002496566</v>
      </c>
    </row>
    <row r="19" spans="1:16" x14ac:dyDescent="0.2">
      <c r="A19" s="1" t="s">
        <v>27</v>
      </c>
      <c r="B19" s="2">
        <v>2.5</v>
      </c>
      <c r="C19" s="2">
        <v>0</v>
      </c>
      <c r="D19" s="2">
        <v>2</v>
      </c>
      <c r="E19" s="2">
        <v>0</v>
      </c>
      <c r="F19" s="2">
        <v>1</v>
      </c>
      <c r="G19" s="2">
        <v>0.5</v>
      </c>
      <c r="H19" s="2">
        <v>0</v>
      </c>
      <c r="I19" s="2">
        <v>6</v>
      </c>
      <c r="J19" s="3">
        <v>57.903480807616837</v>
      </c>
      <c r="K19" s="2"/>
      <c r="L19" s="2">
        <v>45.98375626627287</v>
      </c>
      <c r="M19" s="2">
        <v>46.28040181758039</v>
      </c>
      <c r="N19" s="2">
        <v>40.286201828042365</v>
      </c>
      <c r="O19" s="3">
        <f t="shared" si="0"/>
        <v>44.183453303965202</v>
      </c>
      <c r="P19" s="2">
        <f t="shared" si="1"/>
        <v>2.7584327006127616</v>
      </c>
    </row>
    <row r="20" spans="1:16" x14ac:dyDescent="0.2">
      <c r="A20" s="1" t="s">
        <v>28</v>
      </c>
      <c r="B20" s="2">
        <v>1</v>
      </c>
      <c r="C20" s="2">
        <v>1</v>
      </c>
      <c r="D20" s="2">
        <v>2.5</v>
      </c>
      <c r="E20" s="2">
        <v>1</v>
      </c>
      <c r="F20" s="2">
        <v>0</v>
      </c>
      <c r="G20" s="2">
        <v>0</v>
      </c>
      <c r="H20" s="2">
        <v>0.5</v>
      </c>
      <c r="I20" s="2">
        <v>6</v>
      </c>
      <c r="J20" s="3">
        <v>50.662598209471859</v>
      </c>
      <c r="K20" s="2"/>
      <c r="L20" s="2">
        <v>48.781719970465929</v>
      </c>
      <c r="M20" s="2">
        <v>40.263583976044146</v>
      </c>
      <c r="N20" s="2">
        <v>46.42923516193887</v>
      </c>
      <c r="O20" s="3">
        <f t="shared" si="0"/>
        <v>45.158179702816312</v>
      </c>
      <c r="P20" s="2">
        <f t="shared" si="1"/>
        <v>3.5917819802051767</v>
      </c>
    </row>
    <row r="21" spans="1:16" x14ac:dyDescent="0.2">
      <c r="A21" s="1" t="s">
        <v>29</v>
      </c>
      <c r="B21" s="2">
        <v>1</v>
      </c>
      <c r="C21" s="2">
        <v>0</v>
      </c>
      <c r="D21" s="2">
        <v>1.5</v>
      </c>
      <c r="E21" s="2">
        <v>0.5</v>
      </c>
      <c r="F21" s="2">
        <v>3</v>
      </c>
      <c r="G21" s="2">
        <v>0</v>
      </c>
      <c r="H21" s="2">
        <v>0</v>
      </c>
      <c r="I21" s="2">
        <v>6</v>
      </c>
      <c r="J21" s="3">
        <v>54.713484802662457</v>
      </c>
      <c r="K21" s="2"/>
      <c r="L21" s="2">
        <v>46.193603544087345</v>
      </c>
      <c r="M21" s="2">
        <v>34.56014206375459</v>
      </c>
      <c r="N21" s="2">
        <v>19.72832789876497</v>
      </c>
      <c r="O21" s="3">
        <f t="shared" si="0"/>
        <v>33.494024502202301</v>
      </c>
      <c r="P21" s="2">
        <f t="shared" si="1"/>
        <v>10.830671223798056</v>
      </c>
    </row>
    <row r="22" spans="1:16" x14ac:dyDescent="0.2">
      <c r="A22" s="1" t="s">
        <v>30</v>
      </c>
      <c r="B22" s="2">
        <v>0</v>
      </c>
      <c r="C22" s="2">
        <v>0</v>
      </c>
      <c r="D22" s="2">
        <v>4</v>
      </c>
      <c r="E22" s="2">
        <v>0</v>
      </c>
      <c r="F22" s="2">
        <v>0</v>
      </c>
      <c r="G22" s="2">
        <v>0</v>
      </c>
      <c r="H22" s="2">
        <v>0</v>
      </c>
      <c r="I22" s="2">
        <v>4</v>
      </c>
      <c r="J22" s="3">
        <v>85.38490361656639</v>
      </c>
      <c r="K22" s="2"/>
      <c r="L22" s="2">
        <v>96.347102941747963</v>
      </c>
      <c r="M22" s="2">
        <v>89.400929681923429</v>
      </c>
      <c r="N22" s="2">
        <v>90.768554967983903</v>
      </c>
      <c r="O22" s="3">
        <f t="shared" si="0"/>
        <v>92.172195863885108</v>
      </c>
      <c r="P22" s="2">
        <f t="shared" si="1"/>
        <v>3.0044396662672481</v>
      </c>
    </row>
    <row r="23" spans="1:16" x14ac:dyDescent="0.2">
      <c r="A23" s="1" t="s">
        <v>31</v>
      </c>
      <c r="B23" s="2">
        <v>0</v>
      </c>
      <c r="C23" s="2">
        <v>0</v>
      </c>
      <c r="D23" s="2">
        <v>0.5</v>
      </c>
      <c r="E23" s="2">
        <v>1</v>
      </c>
      <c r="F23" s="2">
        <v>0.5</v>
      </c>
      <c r="G23" s="2">
        <v>0</v>
      </c>
      <c r="H23" s="2">
        <v>0</v>
      </c>
      <c r="I23" s="2">
        <v>2</v>
      </c>
      <c r="J23" s="3">
        <v>93.973190199914995</v>
      </c>
      <c r="K23" s="2"/>
      <c r="L23" s="2">
        <v>97.955932071658964</v>
      </c>
      <c r="M23" s="2">
        <v>85.953794460209963</v>
      </c>
      <c r="N23" s="2">
        <v>80.915372788862783</v>
      </c>
      <c r="O23" s="3">
        <f t="shared" si="0"/>
        <v>88.275033106910584</v>
      </c>
      <c r="P23" s="2">
        <f t="shared" si="1"/>
        <v>7.1477864549721559</v>
      </c>
    </row>
    <row r="24" spans="1:16" x14ac:dyDescent="0.2">
      <c r="A24" s="1" t="s">
        <v>32</v>
      </c>
      <c r="B24" s="2">
        <v>0</v>
      </c>
      <c r="C24" s="2">
        <v>0</v>
      </c>
      <c r="D24" s="2">
        <v>0.5</v>
      </c>
      <c r="E24" s="2">
        <v>1.5</v>
      </c>
      <c r="F24" s="2">
        <v>0</v>
      </c>
      <c r="G24" s="2">
        <v>0</v>
      </c>
      <c r="H24" s="2">
        <v>0</v>
      </c>
      <c r="I24" s="2">
        <v>2</v>
      </c>
      <c r="J24" s="3">
        <v>94.126936830572276</v>
      </c>
      <c r="K24" s="2"/>
      <c r="L24" s="2">
        <v>99.844557571989284</v>
      </c>
      <c r="M24" s="2">
        <v>88.71150263758075</v>
      </c>
      <c r="N24" s="2">
        <v>81.401949686597163</v>
      </c>
      <c r="O24" s="3">
        <f t="shared" si="0"/>
        <v>89.986003298722395</v>
      </c>
      <c r="P24" s="2">
        <f t="shared" si="1"/>
        <v>7.5829066702692041</v>
      </c>
    </row>
    <row r="25" spans="1:16" x14ac:dyDescent="0.2">
      <c r="A25" s="1" t="s">
        <v>33</v>
      </c>
      <c r="B25" s="2">
        <v>2.5</v>
      </c>
      <c r="C25" s="2">
        <v>0</v>
      </c>
      <c r="D25" s="2">
        <v>1</v>
      </c>
      <c r="E25" s="2">
        <v>0</v>
      </c>
      <c r="F25" s="2">
        <v>0</v>
      </c>
      <c r="G25" s="2">
        <v>0</v>
      </c>
      <c r="H25" s="2">
        <v>0</v>
      </c>
      <c r="I25" s="2">
        <v>3.5</v>
      </c>
      <c r="J25" s="3">
        <v>88.66989477344751</v>
      </c>
      <c r="K25" s="2"/>
      <c r="L25" s="2">
        <v>96.836746589981743</v>
      </c>
      <c r="M25" s="2">
        <v>85.577743345113959</v>
      </c>
      <c r="N25" s="2">
        <v>84.260588960786635</v>
      </c>
      <c r="O25" s="3">
        <f t="shared" si="0"/>
        <v>88.891692965294112</v>
      </c>
      <c r="P25" s="2">
        <f t="shared" si="1"/>
        <v>5.6436768004797324</v>
      </c>
    </row>
    <row r="26" spans="1:16" x14ac:dyDescent="0.2">
      <c r="A26" s="1" t="s">
        <v>34</v>
      </c>
      <c r="B26" s="2">
        <v>0</v>
      </c>
      <c r="C26" s="2">
        <v>0</v>
      </c>
      <c r="D26" s="2">
        <v>0.5</v>
      </c>
      <c r="E26" s="2">
        <v>0</v>
      </c>
      <c r="F26" s="2">
        <v>2.5</v>
      </c>
      <c r="G26" s="2">
        <v>0</v>
      </c>
      <c r="H26" s="2">
        <v>0</v>
      </c>
      <c r="I26" s="2">
        <v>3</v>
      </c>
      <c r="J26" s="3">
        <v>82.697649922222467</v>
      </c>
      <c r="K26" s="2"/>
      <c r="L26" s="2">
        <v>62.77153849143123</v>
      </c>
      <c r="M26" s="2">
        <v>63.07735162520239</v>
      </c>
      <c r="N26" s="2">
        <v>71.305479058608853</v>
      </c>
      <c r="O26" s="3">
        <f t="shared" si="0"/>
        <v>65.71812305841415</v>
      </c>
      <c r="P26" s="2">
        <f t="shared" si="1"/>
        <v>3.9528294273748168</v>
      </c>
    </row>
    <row r="27" spans="1:16" x14ac:dyDescent="0.2">
      <c r="A27" s="1" t="s">
        <v>35</v>
      </c>
      <c r="B27" s="2">
        <v>0</v>
      </c>
      <c r="C27" s="2">
        <v>0</v>
      </c>
      <c r="D27" s="2">
        <v>0</v>
      </c>
      <c r="E27" s="2">
        <v>1</v>
      </c>
      <c r="F27" s="2">
        <v>0</v>
      </c>
      <c r="G27" s="2">
        <v>0.5</v>
      </c>
      <c r="H27" s="2">
        <v>0</v>
      </c>
      <c r="I27" s="2">
        <v>1.5</v>
      </c>
      <c r="J27" s="3">
        <v>92.645390843190455</v>
      </c>
      <c r="K27" s="2"/>
      <c r="L27" s="2">
        <v>97.046593867796219</v>
      </c>
      <c r="M27" s="2">
        <v>81.503856264907128</v>
      </c>
      <c r="N27" s="2">
        <v>84.078122624136242</v>
      </c>
      <c r="O27" s="3">
        <f t="shared" si="0"/>
        <v>87.542857585613206</v>
      </c>
      <c r="P27" s="2">
        <f t="shared" si="1"/>
        <v>6.8018362380083888</v>
      </c>
    </row>
    <row r="28" spans="1:16" x14ac:dyDescent="0.2">
      <c r="A28" s="1" t="s">
        <v>36</v>
      </c>
      <c r="B28" s="2">
        <v>0</v>
      </c>
      <c r="C28" s="2">
        <v>0</v>
      </c>
      <c r="D28" s="2">
        <v>1</v>
      </c>
      <c r="E28" s="2">
        <v>0.5</v>
      </c>
      <c r="F28" s="2">
        <v>0.5</v>
      </c>
      <c r="G28" s="2">
        <v>0</v>
      </c>
      <c r="H28" s="2">
        <v>0</v>
      </c>
      <c r="I28" s="2">
        <v>2</v>
      </c>
      <c r="J28" s="3">
        <v>91.440881646963319</v>
      </c>
      <c r="K28" s="2"/>
      <c r="L28" s="2">
        <v>95.647612015699693</v>
      </c>
      <c r="M28" s="2">
        <v>84.449589999825903</v>
      </c>
      <c r="N28" s="2">
        <v>86.632651337241725</v>
      </c>
      <c r="O28" s="3">
        <f t="shared" si="0"/>
        <v>88.909951117589117</v>
      </c>
      <c r="P28" s="2">
        <f t="shared" si="1"/>
        <v>4.8468886916712659</v>
      </c>
    </row>
    <row r="29" spans="1:16" x14ac:dyDescent="0.2">
      <c r="A29" s="1" t="s">
        <v>37</v>
      </c>
      <c r="B29" s="2">
        <v>2.5</v>
      </c>
      <c r="C29" s="2">
        <v>0</v>
      </c>
      <c r="D29" s="2">
        <v>1</v>
      </c>
      <c r="E29" s="2">
        <v>0</v>
      </c>
      <c r="F29" s="2">
        <v>0</v>
      </c>
      <c r="G29" s="2">
        <v>0</v>
      </c>
      <c r="H29" s="2">
        <v>0.5</v>
      </c>
      <c r="I29" s="2">
        <v>4</v>
      </c>
      <c r="J29" s="3">
        <v>81.229983913748924</v>
      </c>
      <c r="K29" s="2"/>
      <c r="L29" s="2">
        <v>82.077488050363357</v>
      </c>
      <c r="M29" s="2">
        <v>71.475826529013375</v>
      </c>
      <c r="N29" s="2">
        <v>68.629306121069789</v>
      </c>
      <c r="O29" s="3">
        <f t="shared" si="0"/>
        <v>74.060873566815502</v>
      </c>
      <c r="P29" s="2">
        <f t="shared" si="1"/>
        <v>5.7864929183735985</v>
      </c>
    </row>
    <row r="30" spans="1:16" x14ac:dyDescent="0.2">
      <c r="A30" s="1" t="s">
        <v>38</v>
      </c>
      <c r="B30" s="2">
        <v>0.5</v>
      </c>
      <c r="C30" s="2">
        <v>0</v>
      </c>
      <c r="D30" s="2">
        <v>3.5</v>
      </c>
      <c r="E30" s="2">
        <v>0</v>
      </c>
      <c r="F30" s="2">
        <v>0</v>
      </c>
      <c r="G30" s="2">
        <v>0</v>
      </c>
      <c r="H30" s="2">
        <v>0</v>
      </c>
      <c r="I30" s="2">
        <v>4</v>
      </c>
      <c r="J30" s="3">
        <v>86.681466050428355</v>
      </c>
      <c r="K30" s="2"/>
      <c r="L30" s="2">
        <v>103.97155403567403</v>
      </c>
      <c r="M30" s="2">
        <v>90.341057469663468</v>
      </c>
      <c r="N30" s="2">
        <v>91.194309753501486</v>
      </c>
      <c r="O30" s="3">
        <f t="shared" si="0"/>
        <v>95.168973752946329</v>
      </c>
      <c r="P30" s="2">
        <f t="shared" si="1"/>
        <v>6.2341037629247387</v>
      </c>
    </row>
    <row r="31" spans="1:16" x14ac:dyDescent="0.2">
      <c r="A31" s="1" t="s">
        <v>39</v>
      </c>
      <c r="B31" s="2">
        <v>2</v>
      </c>
      <c r="C31" s="2">
        <v>0</v>
      </c>
      <c r="D31" s="2">
        <v>1</v>
      </c>
      <c r="E31" s="2">
        <v>0</v>
      </c>
      <c r="F31" s="2">
        <v>0</v>
      </c>
      <c r="G31" s="2">
        <v>0</v>
      </c>
      <c r="H31" s="2">
        <v>0</v>
      </c>
      <c r="I31" s="2">
        <v>3</v>
      </c>
      <c r="J31" s="3">
        <v>90.782673187054229</v>
      </c>
      <c r="K31" s="2"/>
      <c r="L31" s="2">
        <v>100.75389577585202</v>
      </c>
      <c r="M31" s="2">
        <v>85.703093716812617</v>
      </c>
      <c r="N31" s="2">
        <v>86.085252327290547</v>
      </c>
      <c r="O31" s="3">
        <f t="shared" si="0"/>
        <v>90.84741393998506</v>
      </c>
      <c r="P31" s="2">
        <f t="shared" si="1"/>
        <v>7.0066776755778744</v>
      </c>
    </row>
    <row r="32" spans="1:16" x14ac:dyDescent="0.2">
      <c r="A32" s="1" t="s">
        <v>40</v>
      </c>
      <c r="B32" s="2">
        <v>0</v>
      </c>
      <c r="C32" s="2">
        <v>0</v>
      </c>
      <c r="D32" s="2">
        <v>1</v>
      </c>
      <c r="E32" s="2">
        <v>0</v>
      </c>
      <c r="F32" s="2">
        <v>4</v>
      </c>
      <c r="G32" s="2">
        <v>1</v>
      </c>
      <c r="H32" s="2">
        <v>0</v>
      </c>
      <c r="I32" s="2">
        <v>6</v>
      </c>
      <c r="J32" s="3">
        <v>53.051187733490401</v>
      </c>
      <c r="K32" s="2"/>
      <c r="L32" s="2">
        <v>11.778649982512723</v>
      </c>
      <c r="M32" s="2">
        <v>31.80243388638382</v>
      </c>
      <c r="N32" s="2">
        <v>32.805082025376336</v>
      </c>
      <c r="O32" s="3">
        <f t="shared" si="0"/>
        <v>25.462055298090959</v>
      </c>
      <c r="P32" s="2">
        <f t="shared" si="1"/>
        <v>9.6842831982359439</v>
      </c>
    </row>
    <row r="33" spans="1:16" x14ac:dyDescent="0.2">
      <c r="A33" s="1" t="s">
        <v>41</v>
      </c>
      <c r="B33" s="2">
        <v>0</v>
      </c>
      <c r="C33" s="2">
        <v>0.5</v>
      </c>
      <c r="D33" s="2">
        <v>0</v>
      </c>
      <c r="E33" s="2">
        <v>0</v>
      </c>
      <c r="F33" s="2">
        <v>4.5</v>
      </c>
      <c r="G33" s="2">
        <v>1</v>
      </c>
      <c r="H33" s="2">
        <v>0</v>
      </c>
      <c r="I33" s="2">
        <v>6</v>
      </c>
      <c r="J33" s="3">
        <v>46.538541736318507</v>
      </c>
      <c r="K33" s="2"/>
      <c r="L33" s="2">
        <v>44.584774414176344</v>
      </c>
      <c r="M33" s="2">
        <v>39.511481745852123</v>
      </c>
      <c r="N33" s="2">
        <v>37.184274104985718</v>
      </c>
      <c r="O33" s="3">
        <f t="shared" si="0"/>
        <v>40.4268434216714</v>
      </c>
      <c r="P33" s="2">
        <f t="shared" si="1"/>
        <v>3.0897968061294514</v>
      </c>
    </row>
    <row r="34" spans="1:16" x14ac:dyDescent="0.2">
      <c r="A34" s="1" t="s">
        <v>42</v>
      </c>
      <c r="B34" s="2">
        <v>1.5</v>
      </c>
      <c r="C34" s="2">
        <v>0</v>
      </c>
      <c r="D34" s="2">
        <v>1</v>
      </c>
      <c r="E34" s="2">
        <v>0</v>
      </c>
      <c r="F34" s="2">
        <v>0.5</v>
      </c>
      <c r="G34" s="2">
        <v>0</v>
      </c>
      <c r="H34" s="2">
        <v>0</v>
      </c>
      <c r="I34" s="2">
        <v>3</v>
      </c>
      <c r="J34" s="3">
        <v>93.70472888106562</v>
      </c>
      <c r="K34" s="2"/>
      <c r="L34" s="2">
        <v>94.528426534022458</v>
      </c>
      <c r="M34" s="2">
        <v>79.748951061125709</v>
      </c>
      <c r="N34" s="2">
        <v>80.307151666694821</v>
      </c>
      <c r="O34" s="3">
        <f t="shared" si="0"/>
        <v>84.861509753947658</v>
      </c>
      <c r="P34" s="2">
        <f t="shared" si="1"/>
        <v>6.8393399780818607</v>
      </c>
    </row>
    <row r="35" spans="1:16" x14ac:dyDescent="0.2">
      <c r="A35" s="1" t="s">
        <v>43</v>
      </c>
      <c r="B35" s="2">
        <v>2</v>
      </c>
      <c r="C35" s="2">
        <v>0</v>
      </c>
      <c r="D35" s="2">
        <v>2</v>
      </c>
      <c r="E35" s="2">
        <v>0.5</v>
      </c>
      <c r="F35" s="2">
        <v>0</v>
      </c>
      <c r="G35" s="2">
        <v>0</v>
      </c>
      <c r="H35" s="2">
        <v>0</v>
      </c>
      <c r="I35" s="2">
        <v>4.5</v>
      </c>
      <c r="J35" s="3">
        <v>91.180624066796724</v>
      </c>
      <c r="K35" s="2"/>
      <c r="L35" s="2">
        <v>89.352193681265305</v>
      </c>
      <c r="M35" s="2">
        <v>79.68627587527638</v>
      </c>
      <c r="N35" s="2">
        <v>79.090709422358884</v>
      </c>
      <c r="O35" s="3">
        <f t="shared" si="0"/>
        <v>82.709726326300185</v>
      </c>
      <c r="P35" s="2">
        <f t="shared" si="1"/>
        <v>4.7032226023790056</v>
      </c>
    </row>
    <row r="36" spans="1:16" x14ac:dyDescent="0.2">
      <c r="A36" s="1" t="s">
        <v>44</v>
      </c>
      <c r="B36" s="2">
        <v>2</v>
      </c>
      <c r="C36" s="2">
        <v>0.5</v>
      </c>
      <c r="D36" s="2">
        <v>2</v>
      </c>
      <c r="E36" s="2">
        <v>0.5</v>
      </c>
      <c r="F36" s="2">
        <v>0</v>
      </c>
      <c r="G36" s="2">
        <v>0</v>
      </c>
      <c r="H36" s="2">
        <v>0</v>
      </c>
      <c r="I36" s="2">
        <v>5</v>
      </c>
      <c r="J36" s="3">
        <v>81.485339606350323</v>
      </c>
      <c r="K36" s="2"/>
      <c r="L36" s="2">
        <v>80.118913457428221</v>
      </c>
      <c r="M36" s="2">
        <v>70.410348369574677</v>
      </c>
      <c r="N36" s="2">
        <v>74.833161567183097</v>
      </c>
      <c r="O36" s="3">
        <f t="shared" si="0"/>
        <v>75.120807798062003</v>
      </c>
      <c r="P36" s="2">
        <f t="shared" si="1"/>
        <v>3.9687205563738295</v>
      </c>
    </row>
    <row r="37" spans="1:16" x14ac:dyDescent="0.2">
      <c r="A37" s="1" t="s">
        <v>45</v>
      </c>
      <c r="B37" s="2">
        <v>0</v>
      </c>
      <c r="C37" s="2">
        <v>0</v>
      </c>
      <c r="D37" s="2">
        <v>0</v>
      </c>
      <c r="E37" s="2">
        <v>1.5</v>
      </c>
      <c r="F37" s="2">
        <v>4.5</v>
      </c>
      <c r="G37" s="2">
        <v>0</v>
      </c>
      <c r="H37" s="2">
        <v>0</v>
      </c>
      <c r="I37" s="2">
        <v>6</v>
      </c>
      <c r="J37" s="3">
        <v>38.763726223299066</v>
      </c>
      <c r="K37" s="2"/>
      <c r="L37" s="2">
        <v>1.216336999183927</v>
      </c>
      <c r="M37" s="2">
        <v>32.742561674123849</v>
      </c>
      <c r="N37" s="2">
        <v>43.388129551099013</v>
      </c>
      <c r="O37" s="3">
        <f t="shared" si="0"/>
        <v>25.782342741468927</v>
      </c>
      <c r="P37" s="2">
        <f t="shared" si="1"/>
        <v>17.906209490068083</v>
      </c>
    </row>
    <row r="38" spans="1:16" x14ac:dyDescent="0.2">
      <c r="A38" s="1" t="s">
        <v>46</v>
      </c>
      <c r="B38" s="2">
        <v>0</v>
      </c>
      <c r="C38" s="2">
        <v>0</v>
      </c>
      <c r="D38" s="2">
        <v>0.5</v>
      </c>
      <c r="E38" s="2">
        <v>1.5</v>
      </c>
      <c r="F38" s="2">
        <v>0</v>
      </c>
      <c r="G38" s="2">
        <v>0</v>
      </c>
      <c r="H38" s="2">
        <v>0</v>
      </c>
      <c r="I38" s="2">
        <v>2</v>
      </c>
      <c r="J38" s="3">
        <v>98.00221848379293</v>
      </c>
      <c r="K38" s="2"/>
      <c r="L38" s="2">
        <v>108.09855049935879</v>
      </c>
      <c r="M38" s="2">
        <v>93.913543063075608</v>
      </c>
      <c r="N38" s="2">
        <v>88.274848367095231</v>
      </c>
      <c r="O38" s="3">
        <f t="shared" si="0"/>
        <v>96.762313976509873</v>
      </c>
      <c r="P38" s="2">
        <f t="shared" si="1"/>
        <v>8.3399205969481329</v>
      </c>
    </row>
    <row r="39" spans="1:16" x14ac:dyDescent="0.2">
      <c r="A39" s="1" t="s">
        <v>47</v>
      </c>
      <c r="B39" s="2">
        <v>1</v>
      </c>
      <c r="C39" s="2">
        <v>0</v>
      </c>
      <c r="D39" s="2">
        <v>0</v>
      </c>
      <c r="E39" s="2">
        <v>0</v>
      </c>
      <c r="F39" s="2">
        <v>1</v>
      </c>
      <c r="G39" s="2">
        <v>0</v>
      </c>
      <c r="H39" s="2">
        <v>0</v>
      </c>
      <c r="I39" s="2">
        <v>2</v>
      </c>
      <c r="J39" s="3">
        <v>89.153191853959953</v>
      </c>
      <c r="K39" s="2"/>
      <c r="L39" s="2">
        <v>84.665604476741919</v>
      </c>
      <c r="M39" s="2">
        <v>79.811626246975052</v>
      </c>
      <c r="N39" s="2">
        <v>79.151531534575682</v>
      </c>
      <c r="O39" s="3">
        <f t="shared" si="0"/>
        <v>81.209587419430875</v>
      </c>
      <c r="P39" s="2">
        <f t="shared" si="1"/>
        <v>2.4585865427996114</v>
      </c>
    </row>
    <row r="40" spans="1:16" x14ac:dyDescent="0.2">
      <c r="A40" s="1" t="s">
        <v>48</v>
      </c>
      <c r="B40" s="2">
        <v>2.5</v>
      </c>
      <c r="C40" s="2">
        <v>0</v>
      </c>
      <c r="D40" s="2">
        <v>2.5</v>
      </c>
      <c r="E40" s="2">
        <v>0</v>
      </c>
      <c r="F40" s="2">
        <v>0.5</v>
      </c>
      <c r="G40" s="2">
        <v>0</v>
      </c>
      <c r="H40" s="2">
        <v>0.5</v>
      </c>
      <c r="I40" s="2">
        <v>6</v>
      </c>
      <c r="J40" s="3">
        <v>74.46967213770219</v>
      </c>
      <c r="K40" s="2"/>
      <c r="L40" s="2">
        <v>70.675785955776632</v>
      </c>
      <c r="M40" s="2">
        <v>58.000661571406184</v>
      </c>
      <c r="N40" s="2">
        <v>59.262700839683049</v>
      </c>
      <c r="O40" s="3">
        <f t="shared" si="0"/>
        <v>62.646382788955286</v>
      </c>
      <c r="P40" s="2">
        <f t="shared" si="1"/>
        <v>5.7009748985115793</v>
      </c>
    </row>
    <row r="41" spans="1:16" x14ac:dyDescent="0.2">
      <c r="A41" s="1" t="s">
        <v>49</v>
      </c>
      <c r="B41" s="2">
        <v>1</v>
      </c>
      <c r="C41" s="2">
        <v>0</v>
      </c>
      <c r="D41" s="2">
        <v>0</v>
      </c>
      <c r="E41" s="2">
        <v>2</v>
      </c>
      <c r="F41" s="2">
        <v>0.5</v>
      </c>
      <c r="G41" s="2">
        <v>0</v>
      </c>
      <c r="H41" s="2">
        <v>2.5</v>
      </c>
      <c r="I41" s="2">
        <v>6</v>
      </c>
      <c r="J41" s="3">
        <v>30.672328175122171</v>
      </c>
      <c r="K41" s="2"/>
      <c r="L41" s="2">
        <v>23.320250262309095</v>
      </c>
      <c r="M41" s="2">
        <v>15.632235937255174</v>
      </c>
      <c r="N41" s="2">
        <v>29.581510077886094</v>
      </c>
      <c r="O41" s="3">
        <f t="shared" si="0"/>
        <v>22.844665425816789</v>
      </c>
      <c r="P41" s="2">
        <f t="shared" si="1"/>
        <v>5.70468801163537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Emerson</cp:lastModifiedBy>
  <dcterms:created xsi:type="dcterms:W3CDTF">2025-05-29T20:05:36Z</dcterms:created>
  <dcterms:modified xsi:type="dcterms:W3CDTF">2025-06-04T20:39:23Z</dcterms:modified>
</cp:coreProperties>
</file>