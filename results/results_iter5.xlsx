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danemerson/Documents/CMU/01_Research/Projects/CPA/Bayesian Optimization/cpa-bayesian-opt/results/"/>
    </mc:Choice>
  </mc:AlternateContent>
  <xr:revisionPtr revIDLastSave="0" documentId="8_{94A02C79-F888-A04B-AAF1-D1B3FC1E01DF}" xr6:coauthVersionLast="47" xr6:coauthVersionMax="47" xr10:uidLastSave="{00000000-0000-0000-0000-000000000000}"/>
  <bookViews>
    <workbookView xWindow="0" yWindow="500" windowWidth="18460" windowHeight="158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1" l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2" i="1"/>
</calcChain>
</file>

<file path=xl/sharedStrings.xml><?xml version="1.0" encoding="utf-8"?>
<sst xmlns="http://schemas.openxmlformats.org/spreadsheetml/2006/main" count="55" uniqueCount="55">
  <si>
    <t>Index</t>
  </si>
  <si>
    <t>Glycerol</t>
  </si>
  <si>
    <t>DMSO</t>
  </si>
  <si>
    <t>EG</t>
  </si>
  <si>
    <t>12PD</t>
  </si>
  <si>
    <t>13PD</t>
  </si>
  <si>
    <t>3M12PD</t>
  </si>
  <si>
    <t>Urea</t>
  </si>
  <si>
    <t>Total Molarity</t>
  </si>
  <si>
    <t>Predicted Viability</t>
  </si>
  <si>
    <t>Random 1</t>
  </si>
  <si>
    <t>Random 2</t>
  </si>
  <si>
    <t>Random 3</t>
  </si>
  <si>
    <t>Random 4</t>
  </si>
  <si>
    <t>Random 5</t>
  </si>
  <si>
    <t>Random 6</t>
  </si>
  <si>
    <t>Random 7</t>
  </si>
  <si>
    <t>Random 8</t>
  </si>
  <si>
    <t>Random 9</t>
  </si>
  <si>
    <t>Random 10</t>
  </si>
  <si>
    <t>LogNParEGO 1</t>
  </si>
  <si>
    <t>LogNParEGO 2</t>
  </si>
  <si>
    <t>LogNParEGO 3</t>
  </si>
  <si>
    <t>LogNParEGO 4</t>
  </si>
  <si>
    <t>LogNParEGO 5</t>
  </si>
  <si>
    <t>LogNParEGO 6</t>
  </si>
  <si>
    <t>LogNParEGO 7</t>
  </si>
  <si>
    <t>LogNParEGO 8</t>
  </si>
  <si>
    <t>LogNParEGO 9</t>
  </si>
  <si>
    <t>LogNParEGO 10</t>
  </si>
  <si>
    <t>LogNEHVI 1</t>
  </si>
  <si>
    <t>LogNEHVI 2</t>
  </si>
  <si>
    <t>LogNEHVI 3</t>
  </si>
  <si>
    <t>LogNEHVI 4</t>
  </si>
  <si>
    <t>LogNEHVI 5</t>
  </si>
  <si>
    <t>LogNEHVI 6</t>
  </si>
  <si>
    <t>LogNEHVI 7</t>
  </si>
  <si>
    <t>LogNEHVI 8</t>
  </si>
  <si>
    <t>LogNEHVI 9</t>
  </si>
  <si>
    <t>LogNEHVI 10</t>
  </si>
  <si>
    <t>VarLogNEHVI 1</t>
  </si>
  <si>
    <t>VarLogNEHVI 2</t>
  </si>
  <si>
    <t>VarLogNEHVI 3</t>
  </si>
  <si>
    <t>VarLogNEHVI 4</t>
  </si>
  <si>
    <t>VarLogNEHVI 5</t>
  </si>
  <si>
    <t>VarLogNEHVI 6</t>
  </si>
  <si>
    <t>VarLogNEHVI 7</t>
  </si>
  <si>
    <t>VarLogNEHVI 8</t>
  </si>
  <si>
    <t>VarLogNEHVI 9</t>
  </si>
  <si>
    <t>VarLogNEHVI 10</t>
  </si>
  <si>
    <t>n1</t>
  </si>
  <si>
    <t>n2</t>
  </si>
  <si>
    <t>n3</t>
  </si>
  <si>
    <t>Experimental average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</si>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</sst>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1"/>
  <sheetViews>
    <sheetView tabSelected="1" zoomScaleNormal="100" workbookViewId="0">
      <selection activeCell="K1" sqref="K1:K1048576"/>
    </sheetView>
  </sheetViews>
  <sheetFormatPr baseColWidth="10" defaultColWidth="8.83203125" defaultRowHeight="15" x14ac:dyDescent="0.2"/>
  <cols>
    <col min="1" max="1" width="13.6640625" bestFit="1" customWidth="1"/>
    <col min="9" max="9" width="12" bestFit="1" customWidth="1"/>
    <col min="10" max="10" width="15.6640625" bestFit="1" customWidth="1"/>
    <col min="11" max="11" width="13.6640625" customWidth="1"/>
    <col min="15" max="15" width="17.33203125" bestFit="1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 t="s">
        <v>50</v>
      </c>
      <c r="M1" s="2" t="s">
        <v>51</v>
      </c>
      <c r="N1" s="2" t="s">
        <v>52</v>
      </c>
      <c r="O1" t="s">
        <v>53</v>
      </c>
      <c r="P1" t="s">
        <v>54</v>
      </c>
    </row>
    <row r="2" spans="1:16" x14ac:dyDescent="0.2">
      <c r="A2" s="1" t="s">
        <v>10</v>
      </c>
      <c r="B2">
        <v>0.5</v>
      </c>
      <c r="C2">
        <v>1</v>
      </c>
      <c r="D2">
        <v>1</v>
      </c>
      <c r="E2">
        <v>1</v>
      </c>
      <c r="F2">
        <v>0</v>
      </c>
      <c r="G2">
        <v>0</v>
      </c>
      <c r="H2">
        <v>2</v>
      </c>
      <c r="I2">
        <v>5.5</v>
      </c>
      <c r="J2" s="3">
        <v>27.827474199983531</v>
      </c>
      <c r="K2" s="3"/>
      <c r="L2">
        <v>30.351249094373042</v>
      </c>
      <c r="M2">
        <v>45.171281088690748</v>
      </c>
      <c r="N2">
        <v>41.819682277697552</v>
      </c>
      <c r="O2" s="3">
        <f>AVERAGE(L2:N2)</f>
        <v>39.114070820253779</v>
      </c>
      <c r="P2">
        <f>_xlfn.STDEV.P(L2:N2)</f>
        <v>6.3455279316559086</v>
      </c>
    </row>
    <row r="3" spans="1:16" x14ac:dyDescent="0.2">
      <c r="A3" s="1" t="s">
        <v>11</v>
      </c>
      <c r="B3">
        <v>2</v>
      </c>
      <c r="C3">
        <v>0.5</v>
      </c>
      <c r="D3">
        <v>0.5</v>
      </c>
      <c r="E3">
        <v>0.5</v>
      </c>
      <c r="F3">
        <v>1</v>
      </c>
      <c r="G3">
        <v>0</v>
      </c>
      <c r="H3">
        <v>1</v>
      </c>
      <c r="I3">
        <v>5.5</v>
      </c>
      <c r="J3" s="3">
        <v>57.671753471079477</v>
      </c>
      <c r="K3" s="3"/>
      <c r="L3">
        <v>54.694501838087326</v>
      </c>
      <c r="M3">
        <v>58.939465039887381</v>
      </c>
      <c r="N3">
        <v>64.92675881988859</v>
      </c>
      <c r="O3" s="3">
        <f t="shared" ref="O3:O41" si="0">AVERAGE(L3:N3)</f>
        <v>59.520241899287761</v>
      </c>
      <c r="P3">
        <f t="shared" ref="P3:P41" si="1">_xlfn.STDEV.P(L3:N3)</f>
        <v>4.1974394619987399</v>
      </c>
    </row>
    <row r="4" spans="1:16" x14ac:dyDescent="0.2">
      <c r="A4" s="1" t="s">
        <v>12</v>
      </c>
      <c r="B4">
        <v>0</v>
      </c>
      <c r="C4">
        <v>0.5</v>
      </c>
      <c r="D4">
        <v>1</v>
      </c>
      <c r="E4">
        <v>0.5</v>
      </c>
      <c r="F4">
        <v>2</v>
      </c>
      <c r="G4">
        <v>0</v>
      </c>
      <c r="H4">
        <v>1.5</v>
      </c>
      <c r="I4">
        <v>5.5</v>
      </c>
      <c r="J4" s="3">
        <v>19.132232818680681</v>
      </c>
      <c r="K4" s="3"/>
      <c r="L4">
        <v>31.317251187377575</v>
      </c>
      <c r="M4">
        <v>33.683716564992963</v>
      </c>
      <c r="N4">
        <v>31.916649473901384</v>
      </c>
      <c r="O4" s="3">
        <f t="shared" si="0"/>
        <v>32.30587240875731</v>
      </c>
      <c r="P4">
        <f t="shared" si="1"/>
        <v>1.0045431683528185</v>
      </c>
    </row>
    <row r="5" spans="1:16" x14ac:dyDescent="0.2">
      <c r="A5" s="1" t="s">
        <v>13</v>
      </c>
      <c r="B5">
        <v>0.5</v>
      </c>
      <c r="C5">
        <v>0.5</v>
      </c>
      <c r="D5">
        <v>0</v>
      </c>
      <c r="E5">
        <v>0.5</v>
      </c>
      <c r="F5">
        <v>0.5</v>
      </c>
      <c r="G5">
        <v>0</v>
      </c>
      <c r="H5">
        <v>1</v>
      </c>
      <c r="I5">
        <v>3</v>
      </c>
      <c r="J5" s="3">
        <v>60.774089974640503</v>
      </c>
      <c r="K5" s="3"/>
      <c r="L5">
        <v>58.075509163603201</v>
      </c>
      <c r="M5">
        <v>60.713280150164252</v>
      </c>
      <c r="N5">
        <v>49.329482153909638</v>
      </c>
      <c r="O5" s="3">
        <f t="shared" si="0"/>
        <v>56.03942382255903</v>
      </c>
      <c r="P5">
        <f t="shared" si="1"/>
        <v>4.8653158062551203</v>
      </c>
    </row>
    <row r="6" spans="1:16" x14ac:dyDescent="0.2">
      <c r="A6" s="1" t="s">
        <v>14</v>
      </c>
      <c r="B6">
        <v>0</v>
      </c>
      <c r="C6">
        <v>2</v>
      </c>
      <c r="D6">
        <v>0</v>
      </c>
      <c r="E6">
        <v>2.5</v>
      </c>
      <c r="F6">
        <v>0.5</v>
      </c>
      <c r="G6">
        <v>1</v>
      </c>
      <c r="H6">
        <v>0</v>
      </c>
      <c r="I6">
        <v>6</v>
      </c>
      <c r="J6" s="3">
        <v>32.182760285552249</v>
      </c>
      <c r="K6" s="3"/>
      <c r="L6">
        <v>16.923820001610004</v>
      </c>
      <c r="M6">
        <v>21.689347724073208</v>
      </c>
      <c r="N6">
        <v>15.989271714462555</v>
      </c>
      <c r="O6" s="3">
        <f t="shared" si="0"/>
        <v>18.200813146715255</v>
      </c>
      <c r="P6">
        <f t="shared" si="1"/>
        <v>2.4960969864061959</v>
      </c>
    </row>
    <row r="7" spans="1:16" x14ac:dyDescent="0.2">
      <c r="A7" s="1" t="s">
        <v>15</v>
      </c>
      <c r="B7">
        <v>0</v>
      </c>
      <c r="C7">
        <v>0</v>
      </c>
      <c r="D7">
        <v>2.5</v>
      </c>
      <c r="E7">
        <v>0.5</v>
      </c>
      <c r="F7">
        <v>1</v>
      </c>
      <c r="G7">
        <v>1.5</v>
      </c>
      <c r="H7">
        <v>0</v>
      </c>
      <c r="I7">
        <v>5.5</v>
      </c>
      <c r="J7" s="3">
        <v>32.156293317607137</v>
      </c>
      <c r="K7" s="3"/>
      <c r="L7">
        <v>23.106233396839031</v>
      </c>
      <c r="M7">
        <v>36.471140309713753</v>
      </c>
      <c r="N7">
        <v>51.392613988033844</v>
      </c>
      <c r="O7" s="3">
        <f t="shared" si="0"/>
        <v>36.989995898195538</v>
      </c>
      <c r="P7">
        <f t="shared" si="1"/>
        <v>11.553693206900117</v>
      </c>
    </row>
    <row r="8" spans="1:16" x14ac:dyDescent="0.2">
      <c r="A8" s="1" t="s">
        <v>16</v>
      </c>
      <c r="B8">
        <v>0</v>
      </c>
      <c r="C8">
        <v>1</v>
      </c>
      <c r="D8">
        <v>0.5</v>
      </c>
      <c r="E8">
        <v>1</v>
      </c>
      <c r="F8">
        <v>0</v>
      </c>
      <c r="G8">
        <v>1</v>
      </c>
      <c r="H8">
        <v>1.5</v>
      </c>
      <c r="I8">
        <v>5</v>
      </c>
      <c r="J8" s="3">
        <v>23.001068771456868</v>
      </c>
      <c r="K8" s="3"/>
      <c r="L8">
        <v>28.51584511766443</v>
      </c>
      <c r="M8">
        <v>40.863444392304089</v>
      </c>
      <c r="N8">
        <v>40.58180317722303</v>
      </c>
      <c r="O8" s="3">
        <f t="shared" si="0"/>
        <v>36.653697562397184</v>
      </c>
      <c r="P8">
        <f t="shared" si="1"/>
        <v>5.7554792590881192</v>
      </c>
    </row>
    <row r="9" spans="1:16" x14ac:dyDescent="0.2">
      <c r="A9" s="1" t="s">
        <v>17</v>
      </c>
      <c r="B9">
        <v>0.5</v>
      </c>
      <c r="C9">
        <v>0.5</v>
      </c>
      <c r="D9">
        <v>1.5</v>
      </c>
      <c r="E9">
        <v>1</v>
      </c>
      <c r="F9">
        <v>0</v>
      </c>
      <c r="G9">
        <v>2</v>
      </c>
      <c r="H9">
        <v>0</v>
      </c>
      <c r="I9">
        <v>5.5</v>
      </c>
      <c r="J9" s="3">
        <v>31.998506562105479</v>
      </c>
      <c r="K9" s="3"/>
      <c r="L9">
        <v>16.440818955107737</v>
      </c>
      <c r="M9">
        <v>19.324260910370722</v>
      </c>
      <c r="N9">
        <v>21.683515576645348</v>
      </c>
      <c r="O9" s="3">
        <f t="shared" si="0"/>
        <v>19.149531814041268</v>
      </c>
      <c r="P9">
        <f t="shared" si="1"/>
        <v>2.1438850496545707</v>
      </c>
    </row>
    <row r="10" spans="1:16" x14ac:dyDescent="0.2">
      <c r="A10" s="1" t="s">
        <v>18</v>
      </c>
      <c r="B10">
        <v>0.5</v>
      </c>
      <c r="C10">
        <v>0</v>
      </c>
      <c r="D10">
        <v>1.5</v>
      </c>
      <c r="E10">
        <v>1</v>
      </c>
      <c r="F10">
        <v>0</v>
      </c>
      <c r="G10">
        <v>3</v>
      </c>
      <c r="H10">
        <v>0</v>
      </c>
      <c r="I10">
        <v>6</v>
      </c>
      <c r="J10" s="3">
        <v>11.29697769717604</v>
      </c>
      <c r="K10" s="3"/>
      <c r="L10">
        <v>1.3711863042369923</v>
      </c>
      <c r="M10">
        <v>1.6705771938057246</v>
      </c>
      <c r="N10">
        <v>4.7658345368269037</v>
      </c>
      <c r="O10" s="3">
        <f t="shared" si="0"/>
        <v>2.6025326782898737</v>
      </c>
      <c r="P10">
        <f t="shared" si="1"/>
        <v>1.5345607242359869</v>
      </c>
    </row>
    <row r="11" spans="1:16" x14ac:dyDescent="0.2">
      <c r="A11" s="1" t="s">
        <v>19</v>
      </c>
      <c r="B11">
        <v>1</v>
      </c>
      <c r="C11">
        <v>1</v>
      </c>
      <c r="D11">
        <v>0.5</v>
      </c>
      <c r="E11">
        <v>0</v>
      </c>
      <c r="F11">
        <v>1</v>
      </c>
      <c r="G11">
        <v>1</v>
      </c>
      <c r="H11">
        <v>0</v>
      </c>
      <c r="I11">
        <v>4.5</v>
      </c>
      <c r="J11" s="3">
        <v>51.392313326022411</v>
      </c>
      <c r="K11" s="3"/>
      <c r="L11">
        <v>38.175866047709775</v>
      </c>
      <c r="M11">
        <v>48.296574378226182</v>
      </c>
      <c r="N11">
        <v>39.013822983288634</v>
      </c>
      <c r="O11" s="3">
        <f t="shared" si="0"/>
        <v>41.828754469741533</v>
      </c>
      <c r="P11">
        <f t="shared" si="1"/>
        <v>4.5862158499074788</v>
      </c>
    </row>
    <row r="12" spans="1:16" x14ac:dyDescent="0.2">
      <c r="A12" s="1" t="s">
        <v>20</v>
      </c>
      <c r="B12">
        <v>0</v>
      </c>
      <c r="C12">
        <v>0</v>
      </c>
      <c r="D12">
        <v>0</v>
      </c>
      <c r="E12">
        <v>1</v>
      </c>
      <c r="F12">
        <v>0.5</v>
      </c>
      <c r="G12">
        <v>0</v>
      </c>
      <c r="H12">
        <v>0</v>
      </c>
      <c r="I12">
        <v>1.5</v>
      </c>
      <c r="J12" s="3">
        <v>101.4976113645413</v>
      </c>
      <c r="K12" s="3"/>
      <c r="L12">
        <v>84.543966511927451</v>
      </c>
      <c r="M12">
        <v>86.729235100891614</v>
      </c>
      <c r="N12">
        <v>91.004745203218491</v>
      </c>
      <c r="O12" s="3">
        <f t="shared" si="0"/>
        <v>87.425982272012519</v>
      </c>
      <c r="P12">
        <f t="shared" si="1"/>
        <v>2.6832204270004638</v>
      </c>
    </row>
    <row r="13" spans="1:16" x14ac:dyDescent="0.2">
      <c r="A13" s="1" t="s">
        <v>21</v>
      </c>
      <c r="B13">
        <v>0</v>
      </c>
      <c r="C13">
        <v>0</v>
      </c>
      <c r="D13">
        <v>1</v>
      </c>
      <c r="E13">
        <v>1</v>
      </c>
      <c r="F13">
        <v>0</v>
      </c>
      <c r="G13">
        <v>0</v>
      </c>
      <c r="H13">
        <v>0</v>
      </c>
      <c r="I13">
        <v>2</v>
      </c>
      <c r="J13" s="3">
        <v>101.198365920512</v>
      </c>
      <c r="K13" s="3"/>
      <c r="L13">
        <v>80.679958139909317</v>
      </c>
      <c r="M13">
        <v>82.92820272172689</v>
      </c>
      <c r="N13">
        <v>87.703734268619783</v>
      </c>
      <c r="O13" s="3">
        <f t="shared" si="0"/>
        <v>83.77063171008534</v>
      </c>
      <c r="P13">
        <f t="shared" si="1"/>
        <v>2.928665535345488</v>
      </c>
    </row>
    <row r="14" spans="1:16" x14ac:dyDescent="0.2">
      <c r="A14" s="1" t="s">
        <v>22</v>
      </c>
      <c r="B14">
        <v>0</v>
      </c>
      <c r="C14">
        <v>0</v>
      </c>
      <c r="D14">
        <v>0.5</v>
      </c>
      <c r="E14">
        <v>1</v>
      </c>
      <c r="F14">
        <v>0</v>
      </c>
      <c r="G14">
        <v>0.5</v>
      </c>
      <c r="H14">
        <v>0</v>
      </c>
      <c r="I14">
        <v>2</v>
      </c>
      <c r="J14" s="3">
        <v>100.1453821526696</v>
      </c>
      <c r="K14" s="3"/>
      <c r="L14">
        <v>80.969758767810674</v>
      </c>
      <c r="M14">
        <v>82.167996245893946</v>
      </c>
      <c r="N14">
        <v>92.820301217247788</v>
      </c>
      <c r="O14" s="3">
        <f t="shared" si="0"/>
        <v>85.319352076984146</v>
      </c>
      <c r="P14">
        <f t="shared" si="1"/>
        <v>5.3264823768967426</v>
      </c>
    </row>
    <row r="15" spans="1:16" x14ac:dyDescent="0.2">
      <c r="A15" s="1" t="s">
        <v>23</v>
      </c>
      <c r="B15">
        <v>0</v>
      </c>
      <c r="C15">
        <v>0</v>
      </c>
      <c r="D15">
        <v>1</v>
      </c>
      <c r="E15">
        <v>0.5</v>
      </c>
      <c r="F15">
        <v>0</v>
      </c>
      <c r="G15">
        <v>0.5</v>
      </c>
      <c r="H15">
        <v>0</v>
      </c>
      <c r="I15">
        <v>2</v>
      </c>
      <c r="J15" s="3">
        <v>99.34053994917403</v>
      </c>
      <c r="K15" s="3"/>
      <c r="L15">
        <v>82.515362116617936</v>
      </c>
      <c r="M15">
        <v>86.053496011262325</v>
      </c>
      <c r="N15">
        <v>91.252321023313399</v>
      </c>
      <c r="O15" s="3">
        <f t="shared" si="0"/>
        <v>86.607059717064558</v>
      </c>
      <c r="P15">
        <f t="shared" si="1"/>
        <v>3.588262097135364</v>
      </c>
    </row>
    <row r="16" spans="1:16" x14ac:dyDescent="0.2">
      <c r="A16" s="1" t="s">
        <v>24</v>
      </c>
      <c r="B16">
        <v>0</v>
      </c>
      <c r="C16">
        <v>0</v>
      </c>
      <c r="D16">
        <v>0.5</v>
      </c>
      <c r="E16">
        <v>0.5</v>
      </c>
      <c r="F16">
        <v>0</v>
      </c>
      <c r="G16">
        <v>0.5</v>
      </c>
      <c r="H16">
        <v>0</v>
      </c>
      <c r="I16">
        <v>1.5</v>
      </c>
      <c r="J16" s="3">
        <v>100.16377512827781</v>
      </c>
      <c r="K16" s="3"/>
      <c r="L16">
        <v>90.533179488555575</v>
      </c>
      <c r="M16">
        <v>92.641952135147818</v>
      </c>
      <c r="N16">
        <v>92.407674850422964</v>
      </c>
      <c r="O16" s="3">
        <f t="shared" si="0"/>
        <v>91.860935491375457</v>
      </c>
      <c r="P16">
        <f t="shared" si="1"/>
        <v>0.94372434668981464</v>
      </c>
    </row>
    <row r="17" spans="1:16" x14ac:dyDescent="0.2">
      <c r="A17" s="1" t="s">
        <v>25</v>
      </c>
      <c r="B17">
        <v>0.5</v>
      </c>
      <c r="C17">
        <v>0</v>
      </c>
      <c r="D17">
        <v>0.5</v>
      </c>
      <c r="E17">
        <v>1</v>
      </c>
      <c r="F17">
        <v>0</v>
      </c>
      <c r="G17">
        <v>0</v>
      </c>
      <c r="H17">
        <v>0</v>
      </c>
      <c r="I17">
        <v>2</v>
      </c>
      <c r="J17" s="3">
        <v>100.6710022913787</v>
      </c>
      <c r="K17" s="3"/>
      <c r="L17">
        <v>86.475970697936532</v>
      </c>
      <c r="M17">
        <v>83.603941811356165</v>
      </c>
      <c r="N17">
        <v>87.37363317515991</v>
      </c>
      <c r="O17" s="3">
        <f t="shared" si="0"/>
        <v>85.817848561484197</v>
      </c>
      <c r="P17">
        <f t="shared" si="1"/>
        <v>1.6077907833319125</v>
      </c>
    </row>
    <row r="18" spans="1:16" x14ac:dyDescent="0.2">
      <c r="A18" s="1" t="s">
        <v>26</v>
      </c>
      <c r="B18">
        <v>0</v>
      </c>
      <c r="C18">
        <v>0</v>
      </c>
      <c r="D18">
        <v>0</v>
      </c>
      <c r="E18">
        <v>1</v>
      </c>
      <c r="F18">
        <v>0</v>
      </c>
      <c r="G18">
        <v>0.5</v>
      </c>
      <c r="H18">
        <v>0</v>
      </c>
      <c r="I18">
        <v>1.5</v>
      </c>
      <c r="J18" s="3">
        <v>100.2395511827317</v>
      </c>
      <c r="K18" s="3"/>
      <c r="L18">
        <v>84.833767139828822</v>
      </c>
      <c r="M18">
        <v>89.094321914594104</v>
      </c>
      <c r="N18">
        <v>91.747472663503203</v>
      </c>
      <c r="O18" s="3">
        <f t="shared" si="0"/>
        <v>88.558520572642053</v>
      </c>
      <c r="P18">
        <f t="shared" si="1"/>
        <v>2.8478229492660567</v>
      </c>
    </row>
    <row r="19" spans="1:16" x14ac:dyDescent="0.2">
      <c r="A19" s="1" t="s">
        <v>27</v>
      </c>
      <c r="B19">
        <v>0</v>
      </c>
      <c r="C19">
        <v>0</v>
      </c>
      <c r="D19">
        <v>1</v>
      </c>
      <c r="E19">
        <v>0</v>
      </c>
      <c r="F19">
        <v>0</v>
      </c>
      <c r="G19">
        <v>0.5</v>
      </c>
      <c r="H19">
        <v>0</v>
      </c>
      <c r="I19">
        <v>1.5</v>
      </c>
      <c r="J19" s="3">
        <v>96.758839226135819</v>
      </c>
      <c r="K19" s="3"/>
      <c r="L19">
        <v>83.094963372420651</v>
      </c>
      <c r="M19">
        <v>86.560300328484288</v>
      </c>
      <c r="N19">
        <v>90.674644109758617</v>
      </c>
      <c r="O19" s="3">
        <f t="shared" si="0"/>
        <v>86.776635936887843</v>
      </c>
      <c r="P19">
        <f t="shared" si="1"/>
        <v>3.0981705183963602</v>
      </c>
    </row>
    <row r="20" spans="1:16" x14ac:dyDescent="0.2">
      <c r="A20" s="1" t="s">
        <v>28</v>
      </c>
      <c r="B20">
        <v>0</v>
      </c>
      <c r="C20">
        <v>0</v>
      </c>
      <c r="D20">
        <v>0</v>
      </c>
      <c r="E20">
        <v>1.5</v>
      </c>
      <c r="F20">
        <v>0.5</v>
      </c>
      <c r="G20">
        <v>0</v>
      </c>
      <c r="H20">
        <v>0</v>
      </c>
      <c r="I20">
        <v>2</v>
      </c>
      <c r="J20" s="3">
        <v>99.105035509204811</v>
      </c>
      <c r="K20" s="3"/>
      <c r="L20">
        <v>80.776558349209765</v>
      </c>
      <c r="M20">
        <v>81.745659314875638</v>
      </c>
      <c r="N20">
        <v>86.795956261605127</v>
      </c>
      <c r="O20" s="3">
        <f t="shared" si="0"/>
        <v>83.106057975230172</v>
      </c>
      <c r="P20">
        <f t="shared" si="1"/>
        <v>2.6389772252722241</v>
      </c>
    </row>
    <row r="21" spans="1:16" x14ac:dyDescent="0.2">
      <c r="A21" s="1" t="s">
        <v>29</v>
      </c>
      <c r="B21">
        <v>2</v>
      </c>
      <c r="C21">
        <v>0</v>
      </c>
      <c r="D21">
        <v>0</v>
      </c>
      <c r="E21">
        <v>0</v>
      </c>
      <c r="F21">
        <v>0.5</v>
      </c>
      <c r="G21">
        <v>0</v>
      </c>
      <c r="H21">
        <v>0</v>
      </c>
      <c r="I21">
        <v>2.5</v>
      </c>
      <c r="J21" s="3">
        <v>95.821939138937438</v>
      </c>
      <c r="K21" s="3"/>
      <c r="L21">
        <v>78.74795395390025</v>
      </c>
      <c r="M21">
        <v>80.056311590802437</v>
      </c>
      <c r="N21">
        <v>81.596864039612143</v>
      </c>
      <c r="O21" s="3">
        <f t="shared" si="0"/>
        <v>80.133709861438277</v>
      </c>
      <c r="P21">
        <f t="shared" si="1"/>
        <v>1.1643496148324752</v>
      </c>
    </row>
    <row r="22" spans="1:16" x14ac:dyDescent="0.2">
      <c r="A22" s="1" t="s">
        <v>30</v>
      </c>
      <c r="B22">
        <v>2.5</v>
      </c>
      <c r="C22">
        <v>0</v>
      </c>
      <c r="D22">
        <v>0</v>
      </c>
      <c r="E22">
        <v>0.5</v>
      </c>
      <c r="F22">
        <v>0</v>
      </c>
      <c r="G22">
        <v>0</v>
      </c>
      <c r="H22">
        <v>0</v>
      </c>
      <c r="I22">
        <v>3</v>
      </c>
      <c r="J22" s="3">
        <v>90.573180412358184</v>
      </c>
      <c r="K22" s="3"/>
      <c r="L22">
        <v>76.42954893068935</v>
      </c>
      <c r="M22">
        <v>77.775692163303617</v>
      </c>
      <c r="N22">
        <v>89.931916649473905</v>
      </c>
      <c r="O22" s="3">
        <f t="shared" si="0"/>
        <v>81.379052581155634</v>
      </c>
      <c r="P22">
        <f t="shared" si="1"/>
        <v>6.0727060540874609</v>
      </c>
    </row>
    <row r="23" spans="1:16" x14ac:dyDescent="0.2">
      <c r="A23" s="1" t="s">
        <v>31</v>
      </c>
      <c r="B23">
        <v>0</v>
      </c>
      <c r="C23">
        <v>0</v>
      </c>
      <c r="D23">
        <v>0</v>
      </c>
      <c r="E23">
        <v>1</v>
      </c>
      <c r="F23">
        <v>1</v>
      </c>
      <c r="G23">
        <v>0</v>
      </c>
      <c r="H23">
        <v>0</v>
      </c>
      <c r="I23">
        <v>2</v>
      </c>
      <c r="J23" s="3">
        <v>91.805696202405159</v>
      </c>
      <c r="K23" s="3"/>
      <c r="L23">
        <v>82.611962325918384</v>
      </c>
      <c r="M23">
        <v>87.320506804317219</v>
      </c>
      <c r="N23">
        <v>90.01444192283887</v>
      </c>
      <c r="O23" s="3">
        <f t="shared" si="0"/>
        <v>86.648970351024829</v>
      </c>
      <c r="P23">
        <f t="shared" si="1"/>
        <v>3.0591280840332504</v>
      </c>
    </row>
    <row r="24" spans="1:16" x14ac:dyDescent="0.2">
      <c r="A24" s="1" t="s">
        <v>32</v>
      </c>
      <c r="B24">
        <v>0</v>
      </c>
      <c r="C24">
        <v>0</v>
      </c>
      <c r="D24">
        <v>6</v>
      </c>
      <c r="E24">
        <v>0</v>
      </c>
      <c r="F24">
        <v>0</v>
      </c>
      <c r="G24">
        <v>0</v>
      </c>
      <c r="H24">
        <v>0</v>
      </c>
      <c r="I24">
        <v>6</v>
      </c>
      <c r="J24" s="3">
        <v>75.093876913484749</v>
      </c>
      <c r="K24" s="3"/>
      <c r="L24">
        <v>82.708562535218846</v>
      </c>
      <c r="M24">
        <v>88.587517597372141</v>
      </c>
      <c r="N24">
        <v>90.096967196203849</v>
      </c>
      <c r="O24" s="3">
        <f t="shared" si="0"/>
        <v>87.13101577626496</v>
      </c>
      <c r="P24">
        <f t="shared" si="1"/>
        <v>3.1872850541678535</v>
      </c>
    </row>
    <row r="25" spans="1:16" x14ac:dyDescent="0.2">
      <c r="A25" s="1" t="s">
        <v>33</v>
      </c>
      <c r="B25">
        <v>0.5</v>
      </c>
      <c r="C25">
        <v>0</v>
      </c>
      <c r="D25">
        <v>5</v>
      </c>
      <c r="E25">
        <v>0</v>
      </c>
      <c r="F25">
        <v>0</v>
      </c>
      <c r="G25">
        <v>0</v>
      </c>
      <c r="H25">
        <v>0</v>
      </c>
      <c r="I25">
        <v>5.5</v>
      </c>
      <c r="J25" s="3">
        <v>80.11068892484785</v>
      </c>
      <c r="K25" s="3"/>
      <c r="L25">
        <v>89.760377814151937</v>
      </c>
      <c r="M25">
        <v>84.702017832003762</v>
      </c>
      <c r="N25">
        <v>89.271714462554158</v>
      </c>
      <c r="O25" s="3">
        <f t="shared" si="0"/>
        <v>87.911370036236619</v>
      </c>
      <c r="P25">
        <f t="shared" si="1"/>
        <v>2.2781065450514553</v>
      </c>
    </row>
    <row r="26" spans="1:16" x14ac:dyDescent="0.2">
      <c r="A26" s="1" t="s">
        <v>34</v>
      </c>
      <c r="B26">
        <v>2</v>
      </c>
      <c r="C26">
        <v>0</v>
      </c>
      <c r="D26">
        <v>0</v>
      </c>
      <c r="E26">
        <v>0</v>
      </c>
      <c r="F26">
        <v>1.5</v>
      </c>
      <c r="G26">
        <v>0</v>
      </c>
      <c r="H26">
        <v>0</v>
      </c>
      <c r="I26">
        <v>3.5</v>
      </c>
      <c r="J26" s="3">
        <v>78.092299537586499</v>
      </c>
      <c r="K26" s="3"/>
      <c r="L26">
        <v>70.150535326159897</v>
      </c>
      <c r="M26">
        <v>69.666823087752235</v>
      </c>
      <c r="N26">
        <v>73.674437796575205</v>
      </c>
      <c r="O26" s="3">
        <f t="shared" si="0"/>
        <v>71.163932070162446</v>
      </c>
      <c r="P26">
        <f t="shared" si="1"/>
        <v>1.7861455025015516</v>
      </c>
    </row>
    <row r="27" spans="1:16" x14ac:dyDescent="0.2">
      <c r="A27" s="1" t="s">
        <v>35</v>
      </c>
      <c r="B27">
        <v>0</v>
      </c>
      <c r="C27">
        <v>0</v>
      </c>
      <c r="D27">
        <v>3</v>
      </c>
      <c r="E27">
        <v>0</v>
      </c>
      <c r="F27">
        <v>0</v>
      </c>
      <c r="G27">
        <v>0</v>
      </c>
      <c r="H27">
        <v>0</v>
      </c>
      <c r="I27">
        <v>3</v>
      </c>
      <c r="J27" s="3">
        <v>88.392029489581603</v>
      </c>
      <c r="K27" s="3"/>
      <c r="L27">
        <v>95.942791209380971</v>
      </c>
      <c r="M27">
        <v>86.560300328484288</v>
      </c>
      <c r="N27">
        <v>89.189189189189193</v>
      </c>
      <c r="O27" s="3">
        <f t="shared" si="0"/>
        <v>90.564093575684822</v>
      </c>
      <c r="P27">
        <f t="shared" si="1"/>
        <v>3.9518396843774783</v>
      </c>
    </row>
    <row r="28" spans="1:16" x14ac:dyDescent="0.2">
      <c r="A28" s="1" t="s">
        <v>36</v>
      </c>
      <c r="B28">
        <v>0</v>
      </c>
      <c r="C28">
        <v>0</v>
      </c>
      <c r="D28">
        <v>0</v>
      </c>
      <c r="E28">
        <v>0.5</v>
      </c>
      <c r="F28">
        <v>0.5</v>
      </c>
      <c r="G28">
        <v>0.5</v>
      </c>
      <c r="H28">
        <v>0</v>
      </c>
      <c r="I28">
        <v>1.5</v>
      </c>
      <c r="J28" s="3">
        <v>92.139907378254151</v>
      </c>
      <c r="K28" s="3"/>
      <c r="L28">
        <v>90.050178442053308</v>
      </c>
      <c r="M28">
        <v>89.178789300797746</v>
      </c>
      <c r="N28">
        <v>94.058180317722318</v>
      </c>
      <c r="O28" s="3">
        <f t="shared" si="0"/>
        <v>91.095716020191119</v>
      </c>
      <c r="P28">
        <f t="shared" si="1"/>
        <v>2.1247707004889995</v>
      </c>
    </row>
    <row r="29" spans="1:16" x14ac:dyDescent="0.2">
      <c r="A29" s="1" t="s">
        <v>37</v>
      </c>
      <c r="B29">
        <v>2.5</v>
      </c>
      <c r="C29">
        <v>0</v>
      </c>
      <c r="D29">
        <v>0</v>
      </c>
      <c r="E29">
        <v>1</v>
      </c>
      <c r="F29">
        <v>0</v>
      </c>
      <c r="G29">
        <v>0</v>
      </c>
      <c r="H29">
        <v>0</v>
      </c>
      <c r="I29">
        <v>3.5</v>
      </c>
      <c r="J29" s="3">
        <v>85.689370968014344</v>
      </c>
      <c r="K29" s="3"/>
      <c r="L29">
        <v>86.57257090723698</v>
      </c>
      <c r="M29">
        <v>79.887376818395126</v>
      </c>
      <c r="N29">
        <v>88.446461728904481</v>
      </c>
      <c r="O29" s="3">
        <f t="shared" si="0"/>
        <v>84.968803151512191</v>
      </c>
      <c r="P29">
        <f t="shared" si="1"/>
        <v>3.6736482218682944</v>
      </c>
    </row>
    <row r="30" spans="1:16" x14ac:dyDescent="0.2">
      <c r="A30" s="1" t="s">
        <v>38</v>
      </c>
      <c r="B30">
        <v>0</v>
      </c>
      <c r="C30">
        <v>0</v>
      </c>
      <c r="D30">
        <v>0.5</v>
      </c>
      <c r="E30">
        <v>0</v>
      </c>
      <c r="F30">
        <v>2.5</v>
      </c>
      <c r="G30">
        <v>0</v>
      </c>
      <c r="H30">
        <v>3</v>
      </c>
      <c r="I30">
        <v>6</v>
      </c>
      <c r="J30" s="3">
        <v>11.78594613529145</v>
      </c>
      <c r="K30" s="3"/>
      <c r="L30">
        <v>17.503421257412725</v>
      </c>
      <c r="M30">
        <v>18.141717503519477</v>
      </c>
      <c r="N30">
        <v>17.392201361667013</v>
      </c>
      <c r="O30" s="3">
        <f t="shared" si="0"/>
        <v>17.679113374199737</v>
      </c>
      <c r="P30">
        <f t="shared" si="1"/>
        <v>0.33024677808186281</v>
      </c>
    </row>
    <row r="31" spans="1:16" x14ac:dyDescent="0.2">
      <c r="A31" s="1" t="s">
        <v>39</v>
      </c>
      <c r="B31">
        <v>0</v>
      </c>
      <c r="C31">
        <v>0</v>
      </c>
      <c r="D31">
        <v>0</v>
      </c>
      <c r="E31">
        <v>1</v>
      </c>
      <c r="F31">
        <v>2</v>
      </c>
      <c r="G31">
        <v>0</v>
      </c>
      <c r="H31">
        <v>1</v>
      </c>
      <c r="I31">
        <v>4</v>
      </c>
      <c r="J31" s="3">
        <v>52.947970109739309</v>
      </c>
      <c r="K31" s="3"/>
      <c r="L31">
        <v>53.728499745082786</v>
      </c>
      <c r="M31">
        <v>44.748944157672447</v>
      </c>
      <c r="N31">
        <v>48.999381060449764</v>
      </c>
      <c r="O31" s="3">
        <f t="shared" si="0"/>
        <v>49.158941654401666</v>
      </c>
      <c r="P31">
        <f t="shared" si="1"/>
        <v>3.6676240559981763</v>
      </c>
    </row>
    <row r="32" spans="1:16" x14ac:dyDescent="0.2">
      <c r="A32" s="1" t="s">
        <v>40</v>
      </c>
      <c r="B32">
        <v>0</v>
      </c>
      <c r="C32">
        <v>0.5</v>
      </c>
      <c r="D32">
        <v>0.5</v>
      </c>
      <c r="E32">
        <v>1.5</v>
      </c>
      <c r="F32">
        <v>0</v>
      </c>
      <c r="G32">
        <v>0</v>
      </c>
      <c r="H32">
        <v>0</v>
      </c>
      <c r="I32">
        <v>2.5</v>
      </c>
      <c r="J32" s="3">
        <v>96.957043197859306</v>
      </c>
      <c r="K32" s="3"/>
      <c r="L32">
        <v>92.658384093165552</v>
      </c>
      <c r="M32">
        <v>88.840919755983109</v>
      </c>
      <c r="N32">
        <v>83.082318960181567</v>
      </c>
      <c r="O32" s="3">
        <f t="shared" si="0"/>
        <v>88.193874269776742</v>
      </c>
      <c r="P32">
        <f t="shared" si="1"/>
        <v>3.9360942361434823</v>
      </c>
    </row>
    <row r="33" spans="1:16" x14ac:dyDescent="0.2">
      <c r="A33" s="1" t="s">
        <v>41</v>
      </c>
      <c r="B33">
        <v>2</v>
      </c>
      <c r="C33">
        <v>0</v>
      </c>
      <c r="D33">
        <v>1</v>
      </c>
      <c r="E33">
        <v>0</v>
      </c>
      <c r="F33">
        <v>2.5</v>
      </c>
      <c r="G33">
        <v>0</v>
      </c>
      <c r="H33">
        <v>0.5</v>
      </c>
      <c r="I33">
        <v>6</v>
      </c>
      <c r="J33" s="3">
        <v>57.797070423445611</v>
      </c>
      <c r="K33" s="3"/>
      <c r="L33">
        <v>57.882308745002291</v>
      </c>
      <c r="M33">
        <v>38.413890192397943</v>
      </c>
      <c r="N33">
        <v>39.178873530018571</v>
      </c>
      <c r="O33" s="3">
        <f t="shared" si="0"/>
        <v>45.158357489139604</v>
      </c>
      <c r="P33">
        <f t="shared" si="1"/>
        <v>9.0026107897611727</v>
      </c>
    </row>
    <row r="34" spans="1:16" x14ac:dyDescent="0.2">
      <c r="A34" s="1" t="s">
        <v>42</v>
      </c>
      <c r="B34">
        <v>3</v>
      </c>
      <c r="C34">
        <v>0</v>
      </c>
      <c r="D34">
        <v>0.5</v>
      </c>
      <c r="E34">
        <v>1</v>
      </c>
      <c r="F34">
        <v>0</v>
      </c>
      <c r="G34">
        <v>0</v>
      </c>
      <c r="H34">
        <v>1.5</v>
      </c>
      <c r="I34">
        <v>6</v>
      </c>
      <c r="J34" s="3">
        <v>46.993904536879413</v>
      </c>
      <c r="K34" s="3"/>
      <c r="L34">
        <v>25.231438001449007</v>
      </c>
      <c r="M34">
        <v>42.214922571562653</v>
      </c>
      <c r="N34">
        <v>50.979987621209006</v>
      </c>
      <c r="O34" s="3">
        <f t="shared" si="0"/>
        <v>39.475449398073557</v>
      </c>
      <c r="P34">
        <f t="shared" si="1"/>
        <v>10.688794345216873</v>
      </c>
    </row>
    <row r="35" spans="1:16" x14ac:dyDescent="0.2">
      <c r="A35" s="1" t="s">
        <v>43</v>
      </c>
      <c r="B35">
        <v>0</v>
      </c>
      <c r="C35">
        <v>0.5</v>
      </c>
      <c r="D35">
        <v>0.5</v>
      </c>
      <c r="E35">
        <v>0</v>
      </c>
      <c r="F35">
        <v>2</v>
      </c>
      <c r="G35">
        <v>0</v>
      </c>
      <c r="H35">
        <v>0</v>
      </c>
      <c r="I35">
        <v>3</v>
      </c>
      <c r="J35" s="3">
        <v>88.835074154890407</v>
      </c>
      <c r="K35" s="3"/>
      <c r="L35">
        <v>78.071752488797074</v>
      </c>
      <c r="M35">
        <v>70.511496949788835</v>
      </c>
      <c r="N35">
        <v>75.159892717144629</v>
      </c>
      <c r="O35" s="3">
        <f t="shared" si="0"/>
        <v>74.581047385243508</v>
      </c>
      <c r="P35">
        <f t="shared" si="1"/>
        <v>3.1134827650584453</v>
      </c>
    </row>
    <row r="36" spans="1:16" x14ac:dyDescent="0.2">
      <c r="A36" s="1" t="s">
        <v>44</v>
      </c>
      <c r="B36">
        <v>0</v>
      </c>
      <c r="C36">
        <v>0.5</v>
      </c>
      <c r="D36">
        <v>1.5</v>
      </c>
      <c r="E36">
        <v>1</v>
      </c>
      <c r="F36">
        <v>3</v>
      </c>
      <c r="G36">
        <v>0</v>
      </c>
      <c r="H36">
        <v>0</v>
      </c>
      <c r="I36">
        <v>6</v>
      </c>
      <c r="J36" s="3">
        <v>62.23599605778859</v>
      </c>
      <c r="K36" s="3"/>
      <c r="L36">
        <v>23.589234443341297</v>
      </c>
      <c r="M36">
        <v>29.544814641013616</v>
      </c>
      <c r="N36">
        <v>44.708066845471429</v>
      </c>
      <c r="O36" s="3">
        <f t="shared" si="0"/>
        <v>32.61403864327545</v>
      </c>
      <c r="P36">
        <f t="shared" si="1"/>
        <v>8.8906832316892359</v>
      </c>
    </row>
    <row r="37" spans="1:16" x14ac:dyDescent="0.2">
      <c r="A37" s="1" t="s">
        <v>45</v>
      </c>
      <c r="B37">
        <v>2.5</v>
      </c>
      <c r="C37">
        <v>0</v>
      </c>
      <c r="D37">
        <v>0</v>
      </c>
      <c r="E37">
        <v>0</v>
      </c>
      <c r="F37">
        <v>3.5</v>
      </c>
      <c r="G37">
        <v>0</v>
      </c>
      <c r="H37">
        <v>0</v>
      </c>
      <c r="I37">
        <v>6</v>
      </c>
      <c r="J37" s="3">
        <v>46.259661526325708</v>
      </c>
      <c r="K37" s="3"/>
      <c r="L37">
        <v>52.279496605575979</v>
      </c>
      <c r="M37">
        <v>24.899108399812299</v>
      </c>
      <c r="N37">
        <v>41.819682277697552</v>
      </c>
      <c r="O37" s="3">
        <f t="shared" si="0"/>
        <v>39.666095761028608</v>
      </c>
      <c r="P37">
        <f t="shared" si="1"/>
        <v>11.281248918394455</v>
      </c>
    </row>
    <row r="38" spans="1:16" x14ac:dyDescent="0.2">
      <c r="A38" s="1" t="s">
        <v>46</v>
      </c>
      <c r="B38">
        <v>3</v>
      </c>
      <c r="C38">
        <v>1</v>
      </c>
      <c r="D38">
        <v>1</v>
      </c>
      <c r="E38">
        <v>0</v>
      </c>
      <c r="F38">
        <v>0</v>
      </c>
      <c r="G38">
        <v>0</v>
      </c>
      <c r="H38">
        <v>1</v>
      </c>
      <c r="I38">
        <v>6</v>
      </c>
      <c r="J38" s="3">
        <v>54.255177221828752</v>
      </c>
      <c r="K38" s="3"/>
      <c r="L38">
        <v>36.920063326803877</v>
      </c>
      <c r="M38">
        <v>49.056780854059127</v>
      </c>
      <c r="N38">
        <v>56.014029296472053</v>
      </c>
      <c r="O38" s="3">
        <f t="shared" si="0"/>
        <v>47.330291159111681</v>
      </c>
      <c r="P38">
        <f t="shared" si="1"/>
        <v>7.890097553802554</v>
      </c>
    </row>
    <row r="39" spans="1:16" x14ac:dyDescent="0.2">
      <c r="A39" s="1" t="s">
        <v>47</v>
      </c>
      <c r="B39">
        <v>1.5</v>
      </c>
      <c r="C39">
        <v>0</v>
      </c>
      <c r="D39">
        <v>2</v>
      </c>
      <c r="E39">
        <v>0</v>
      </c>
      <c r="F39">
        <v>0</v>
      </c>
      <c r="G39">
        <v>0</v>
      </c>
      <c r="H39">
        <v>0</v>
      </c>
      <c r="I39">
        <v>3.5</v>
      </c>
      <c r="J39" s="3">
        <v>98.494077675121517</v>
      </c>
      <c r="K39" s="3"/>
      <c r="L39">
        <v>97.391794348887771</v>
      </c>
      <c r="M39">
        <v>95.682778038479597</v>
      </c>
      <c r="N39">
        <v>91.16979574994842</v>
      </c>
      <c r="O39" s="3">
        <f t="shared" si="0"/>
        <v>94.748122712438601</v>
      </c>
      <c r="P39">
        <f t="shared" si="1"/>
        <v>2.624690721484904</v>
      </c>
    </row>
    <row r="40" spans="1:16" x14ac:dyDescent="0.2">
      <c r="A40" s="1" t="s">
        <v>48</v>
      </c>
      <c r="B40">
        <v>3</v>
      </c>
      <c r="C40">
        <v>0.5</v>
      </c>
      <c r="D40">
        <v>0.5</v>
      </c>
      <c r="E40">
        <v>1</v>
      </c>
      <c r="F40">
        <v>0</v>
      </c>
      <c r="G40">
        <v>0</v>
      </c>
      <c r="H40">
        <v>1</v>
      </c>
      <c r="I40">
        <v>6</v>
      </c>
      <c r="J40" s="3">
        <v>58.578438307810167</v>
      </c>
      <c r="K40" s="3"/>
      <c r="L40">
        <v>20.594627955027242</v>
      </c>
      <c r="M40">
        <v>44.495541999061473</v>
      </c>
      <c r="N40">
        <v>50.56736125438416</v>
      </c>
      <c r="O40" s="3">
        <f t="shared" si="0"/>
        <v>38.552510402824289</v>
      </c>
      <c r="P40">
        <f t="shared" si="1"/>
        <v>12.937823201090154</v>
      </c>
    </row>
    <row r="41" spans="1:16" x14ac:dyDescent="0.2">
      <c r="A41" s="1" t="s">
        <v>49</v>
      </c>
      <c r="B41">
        <v>2</v>
      </c>
      <c r="C41">
        <v>0</v>
      </c>
      <c r="D41">
        <v>0</v>
      </c>
      <c r="E41">
        <v>0</v>
      </c>
      <c r="F41">
        <v>4</v>
      </c>
      <c r="G41">
        <v>0</v>
      </c>
      <c r="H41">
        <v>0</v>
      </c>
      <c r="I41">
        <v>6</v>
      </c>
      <c r="J41" s="3">
        <v>34.406179703671427</v>
      </c>
      <c r="K41" s="3"/>
      <c r="L41">
        <v>56.433305605495484</v>
      </c>
      <c r="M41">
        <v>38.413890192397943</v>
      </c>
      <c r="N41">
        <v>22.013616670105218</v>
      </c>
      <c r="O41" s="3">
        <f t="shared" si="0"/>
        <v>38.95360415599955</v>
      </c>
      <c r="P41">
        <f t="shared" si="1"/>
        <v>14.056960671357485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 Emerson</cp:lastModifiedBy>
  <dcterms:created xsi:type="dcterms:W3CDTF">2025-05-26T14:05:12Z</dcterms:created>
  <dcterms:modified xsi:type="dcterms:W3CDTF">2025-05-29T20:03:03Z</dcterms:modified>
</cp:coreProperties>
</file>